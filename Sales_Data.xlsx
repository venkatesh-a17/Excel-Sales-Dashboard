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4"/>
  </bookViews>
  <sheets>
    <sheet name="Sales_Data" sheetId="1" r:id="rId1"/>
    <sheet name="Pivot_Table" sheetId="3" r:id="rId2"/>
    <sheet name="Category_Pivot" sheetId="4" r:id="rId3"/>
    <sheet name="Sales by salesperson" sheetId="9" r:id="rId4"/>
    <sheet name="Dashboard" sheetId="10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<sst xmlns="http://schemas.openxmlformats.org/spreadsheetml/2006/main" count="743" uniqueCount="260">
  <si>
    <t>Order ID</t>
  </si>
  <si>
    <t>Date</t>
  </si>
  <si>
    <t>Customer</t>
  </si>
  <si>
    <t>Region</t>
  </si>
  <si>
    <t>Product</t>
  </si>
  <si>
    <t>Category</t>
  </si>
  <si>
    <t>Quantity</t>
  </si>
  <si>
    <t>Unit Price</t>
  </si>
  <si>
    <t>Sales</t>
  </si>
  <si>
    <t>Salesperson</t>
  </si>
  <si>
    <t>ORD001</t>
  </si>
  <si>
    <t>01-01-2026</t>
  </si>
  <si>
    <t>Rahul</t>
  </si>
  <si>
    <t>North</t>
  </si>
  <si>
    <t>Laptop</t>
  </si>
  <si>
    <t>Electronics</t>
  </si>
  <si>
    <t>Amit</t>
  </si>
  <si>
    <t>ORD002</t>
  </si>
  <si>
    <t>02-01-2026</t>
  </si>
  <si>
    <t>Priya</t>
  </si>
  <si>
    <t>South</t>
  </si>
  <si>
    <t>Mobile</t>
  </si>
  <si>
    <t>Neha</t>
  </si>
  <si>
    <t>ORD003</t>
  </si>
  <si>
    <t>03-01-2026</t>
  </si>
  <si>
    <t>Arjun</t>
  </si>
  <si>
    <t>East</t>
  </si>
  <si>
    <t>Printer</t>
  </si>
  <si>
    <t>Ravi</t>
  </si>
  <si>
    <t>ORD004</t>
  </si>
  <si>
    <t>04-01-2026</t>
  </si>
  <si>
    <t>Sneha</t>
  </si>
  <si>
    <t>West</t>
  </si>
  <si>
    <t>Monitor</t>
  </si>
  <si>
    <t>Pooja</t>
  </si>
  <si>
    <t>ORD005</t>
  </si>
  <si>
    <t>05-01-2026</t>
  </si>
  <si>
    <t>Kiran</t>
  </si>
  <si>
    <t>Chair</t>
  </si>
  <si>
    <t>Furniture</t>
  </si>
  <si>
    <t>ORD006</t>
  </si>
  <si>
    <t>06-01-2026</t>
  </si>
  <si>
    <t>Anjali</t>
  </si>
  <si>
    <t>Table</t>
  </si>
  <si>
    <t>ORD007</t>
  </si>
  <si>
    <t>07-01-2026</t>
  </si>
  <si>
    <t>Vivek</t>
  </si>
  <si>
    <t>Desk</t>
  </si>
  <si>
    <t>ORD008</t>
  </si>
  <si>
    <t>08-01-2026</t>
  </si>
  <si>
    <t>Divya</t>
  </si>
  <si>
    <t>Sofa</t>
  </si>
  <si>
    <t>ORD009</t>
  </si>
  <si>
    <t>09-01-2026</t>
  </si>
  <si>
    <t>Ramesh</t>
  </si>
  <si>
    <t>Mouse</t>
  </si>
  <si>
    <t>Accessories</t>
  </si>
  <si>
    <t>ORD010</t>
  </si>
  <si>
    <t>10-01-2026</t>
  </si>
  <si>
    <t>Kavya</t>
  </si>
  <si>
    <t>Keyboard</t>
  </si>
  <si>
    <t>ORD011</t>
  </si>
  <si>
    <t>11-01-2026</t>
  </si>
  <si>
    <t>Suresh</t>
  </si>
  <si>
    <t>Headphones</t>
  </si>
  <si>
    <t>ORD012</t>
  </si>
  <si>
    <t>12-01-2026</t>
  </si>
  <si>
    <t>Meena</t>
  </si>
  <si>
    <t>ORD013</t>
  </si>
  <si>
    <t>13-01-2026</t>
  </si>
  <si>
    <t>Raju</t>
  </si>
  <si>
    <t>ORD014</t>
  </si>
  <si>
    <t>14-01-2026</t>
  </si>
  <si>
    <t>Pavan</t>
  </si>
  <si>
    <t>ORD015</t>
  </si>
  <si>
    <t>15-01-2026</t>
  </si>
  <si>
    <t>Nisha</t>
  </si>
  <si>
    <t>ORD016</t>
  </si>
  <si>
    <t>16-01-2026</t>
  </si>
  <si>
    <t>Deepa</t>
  </si>
  <si>
    <t>ORD017</t>
  </si>
  <si>
    <t>17-01-2026</t>
  </si>
  <si>
    <t>Ajay</t>
  </si>
  <si>
    <t>ORD018</t>
  </si>
  <si>
    <t>18-01-2026</t>
  </si>
  <si>
    <t>Varun</t>
  </si>
  <si>
    <t>ORD019</t>
  </si>
  <si>
    <t>19-01-2026</t>
  </si>
  <si>
    <t>Harsha</t>
  </si>
  <si>
    <t>ORD020</t>
  </si>
  <si>
    <t>20-01-2026</t>
  </si>
  <si>
    <t>Keerthi</t>
  </si>
  <si>
    <t>ORD021</t>
  </si>
  <si>
    <t>21-01-2026</t>
  </si>
  <si>
    <t>ORD022</t>
  </si>
  <si>
    <t>22-01-2026</t>
  </si>
  <si>
    <t>ORD023</t>
  </si>
  <si>
    <t>23-01-2026</t>
  </si>
  <si>
    <t>ORD024</t>
  </si>
  <si>
    <t>24-01-2026</t>
  </si>
  <si>
    <t>ORD025</t>
  </si>
  <si>
    <t>25-01-2026</t>
  </si>
  <si>
    <t>ORD026</t>
  </si>
  <si>
    <t>26-01-2026</t>
  </si>
  <si>
    <t>ORD027</t>
  </si>
  <si>
    <t>27-01-2026</t>
  </si>
  <si>
    <t>ORD028</t>
  </si>
  <si>
    <t>28-01-2026</t>
  </si>
  <si>
    <t>ORD029</t>
  </si>
  <si>
    <t>29-01-2026</t>
  </si>
  <si>
    <t>ORD030</t>
  </si>
  <si>
    <t>30-01-2026</t>
  </si>
  <si>
    <t>ORD031</t>
  </si>
  <si>
    <t>31-01-2026</t>
  </si>
  <si>
    <t>ORD032</t>
  </si>
  <si>
    <t>01-02-2026</t>
  </si>
  <si>
    <t>ORD033</t>
  </si>
  <si>
    <t>02-02-2026</t>
  </si>
  <si>
    <t>ORD034</t>
  </si>
  <si>
    <t>03-02-2026</t>
  </si>
  <si>
    <t>ORD035</t>
  </si>
  <si>
    <t>04-02-2026</t>
  </si>
  <si>
    <t>ORD036</t>
  </si>
  <si>
    <t>05-02-2026</t>
  </si>
  <si>
    <t>ORD037</t>
  </si>
  <si>
    <t>06-02-2026</t>
  </si>
  <si>
    <t>ORD038</t>
  </si>
  <si>
    <t>07-02-2026</t>
  </si>
  <si>
    <t>ORD039</t>
  </si>
  <si>
    <t>08-02-2026</t>
  </si>
  <si>
    <t>ORD040</t>
  </si>
  <si>
    <t>09-02-2026</t>
  </si>
  <si>
    <t>ORD041</t>
  </si>
  <si>
    <t>10-02-2026</t>
  </si>
  <si>
    <t>ORD042</t>
  </si>
  <si>
    <t>11-02-2026</t>
  </si>
  <si>
    <t>ORD043</t>
  </si>
  <si>
    <t>12-02-2026</t>
  </si>
  <si>
    <t>ORD044</t>
  </si>
  <si>
    <t>13-02-2026</t>
  </si>
  <si>
    <t>ORD045</t>
  </si>
  <si>
    <t>14-02-2026</t>
  </si>
  <si>
    <t>ORD046</t>
  </si>
  <si>
    <t>15-02-2026</t>
  </si>
  <si>
    <t>ORD047</t>
  </si>
  <si>
    <t>16-02-2026</t>
  </si>
  <si>
    <t>ORD048</t>
  </si>
  <si>
    <t>17-02-2026</t>
  </si>
  <si>
    <t>ORD049</t>
  </si>
  <si>
    <t>18-02-2026</t>
  </si>
  <si>
    <t>ORD050</t>
  </si>
  <si>
    <t>19-02-2026</t>
  </si>
  <si>
    <t>ORD051</t>
  </si>
  <si>
    <t>20-02-2026</t>
  </si>
  <si>
    <t>ORD052</t>
  </si>
  <si>
    <t>21-02-2026</t>
  </si>
  <si>
    <t>ORD053</t>
  </si>
  <si>
    <t>22-02-2026</t>
  </si>
  <si>
    <t>ORD054</t>
  </si>
  <si>
    <t>23-02-2026</t>
  </si>
  <si>
    <t>ORD055</t>
  </si>
  <si>
    <t>24-02-2026</t>
  </si>
  <si>
    <t>ORD056</t>
  </si>
  <si>
    <t>25-02-2026</t>
  </si>
  <si>
    <t>ORD057</t>
  </si>
  <si>
    <t>26-02-2026</t>
  </si>
  <si>
    <t>ORD058</t>
  </si>
  <si>
    <t>27-02-2026</t>
  </si>
  <si>
    <t>ORD059</t>
  </si>
  <si>
    <t>28-02-2026</t>
  </si>
  <si>
    <t>ORD060</t>
  </si>
  <si>
    <t>29-02-2026</t>
  </si>
  <si>
    <t>ORD061</t>
  </si>
  <si>
    <t>30-02-2026</t>
  </si>
  <si>
    <t>ORD062</t>
  </si>
  <si>
    <t>31-02-2026</t>
  </si>
  <si>
    <t>ORD063</t>
  </si>
  <si>
    <t>32-02-2026</t>
  </si>
  <si>
    <t>ORD064</t>
  </si>
  <si>
    <t>33-02-2026</t>
  </si>
  <si>
    <t>ORD065</t>
  </si>
  <si>
    <t>34-02-2026</t>
  </si>
  <si>
    <t>ORD066</t>
  </si>
  <si>
    <t>35-02-2026</t>
  </si>
  <si>
    <t>ORD067</t>
  </si>
  <si>
    <t>36-02-2026</t>
  </si>
  <si>
    <t>ORD068</t>
  </si>
  <si>
    <t>37-02-2026</t>
  </si>
  <si>
    <t>ORD069</t>
  </si>
  <si>
    <t>38-02-2026</t>
  </si>
  <si>
    <t>ORD070</t>
  </si>
  <si>
    <t>39-02-2026</t>
  </si>
  <si>
    <t>ORD071</t>
  </si>
  <si>
    <t>40-02-2026</t>
  </si>
  <si>
    <t>ORD072</t>
  </si>
  <si>
    <t>41-02-2026</t>
  </si>
  <si>
    <t>ORD073</t>
  </si>
  <si>
    <t>42-02-2026</t>
  </si>
  <si>
    <t>ORD074</t>
  </si>
  <si>
    <t>43-02-2026</t>
  </si>
  <si>
    <t>ORD075</t>
  </si>
  <si>
    <t>44-02-2026</t>
  </si>
  <si>
    <t>ORD076</t>
  </si>
  <si>
    <t>45-02-2026</t>
  </si>
  <si>
    <t>ORD077</t>
  </si>
  <si>
    <t>46-02-2026</t>
  </si>
  <si>
    <t>ORD078</t>
  </si>
  <si>
    <t>47-02-2026</t>
  </si>
  <si>
    <t>ORD079</t>
  </si>
  <si>
    <t>48-02-2026</t>
  </si>
  <si>
    <t>ORD080</t>
  </si>
  <si>
    <t>49-02-2026</t>
  </si>
  <si>
    <t>ORD081</t>
  </si>
  <si>
    <t>50-02-2026</t>
  </si>
  <si>
    <t>ORD082</t>
  </si>
  <si>
    <t>51-02-2026</t>
  </si>
  <si>
    <t>ORD083</t>
  </si>
  <si>
    <t>52-02-2026</t>
  </si>
  <si>
    <t>ORD084</t>
  </si>
  <si>
    <t>53-02-2026</t>
  </si>
  <si>
    <t>ORD085</t>
  </si>
  <si>
    <t>54-02-2026</t>
  </si>
  <si>
    <t>ORD086</t>
  </si>
  <si>
    <t>55-02-2026</t>
  </si>
  <si>
    <t>ORD087</t>
  </si>
  <si>
    <t>56-02-2026</t>
  </si>
  <si>
    <t>ORD088</t>
  </si>
  <si>
    <t>57-02-2026</t>
  </si>
  <si>
    <t>ORD089</t>
  </si>
  <si>
    <t>58-02-2026</t>
  </si>
  <si>
    <t>ORD090</t>
  </si>
  <si>
    <t>59-02-2026</t>
  </si>
  <si>
    <t>ORD091</t>
  </si>
  <si>
    <t>60-02-2026</t>
  </si>
  <si>
    <t>ORD092</t>
  </si>
  <si>
    <t>61-02-2026</t>
  </si>
  <si>
    <t>ORD093</t>
  </si>
  <si>
    <t>62-02-2026</t>
  </si>
  <si>
    <t>ORD094</t>
  </si>
  <si>
    <t>63-02-2026</t>
  </si>
  <si>
    <t>ORD095</t>
  </si>
  <si>
    <t>64-02-2026</t>
  </si>
  <si>
    <t>ORD096</t>
  </si>
  <si>
    <t>65-02-2026</t>
  </si>
  <si>
    <t>ORD097</t>
  </si>
  <si>
    <t>66-02-2026</t>
  </si>
  <si>
    <t>ORD098</t>
  </si>
  <si>
    <t>67-02-2026</t>
  </si>
  <si>
    <t>ORD099</t>
  </si>
  <si>
    <t>68-02-2026</t>
  </si>
  <si>
    <t>ORD100</t>
  </si>
  <si>
    <t>69-02-2026</t>
  </si>
  <si>
    <t>Sum of Sales</t>
  </si>
  <si>
    <t>Grand Total</t>
  </si>
  <si>
    <t>Sum of Sum of Sales</t>
  </si>
  <si>
    <t>EXCEL SALES DASHBOARD</t>
  </si>
  <si>
    <t>Total sales</t>
  </si>
  <si>
    <t>Total orders</t>
  </si>
  <si>
    <t>Average sales</t>
  </si>
  <si>
    <t>Top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</si>
</sst>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ont>
        <sz val="10"/>
      </font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[Sales_Data.xlsx]Pivot_Table!PivotTable2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Pivot_Table!$B$2:$B$6</c:f>
              <c:numCache>
                <c:formatCode>General</c:formatCode>
                <c:ptCount val="4"/>
                <c:pt idx="0">
                  <c:v>1445000</c:v>
                </c:pt>
                <c:pt idx="1">
                  <c:v>1472600</c:v>
                </c:pt>
                <c:pt idx="2">
                  <c:v>1104000</c:v>
                </c:pt>
                <c:pt idx="3">
                  <c:v>1246000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23138132"/>
        <c:axId val="97504618"/>
      </c:barChart>
      <c:catAx>
        <c:axId val="923138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04618"/>
        <c:crosses val="autoZero"/>
        <c:auto val="1"/>
        <c:lblAlgn val="ctr"/>
        <c:lblOffset val="100"/>
        <c:noMultiLvlLbl val="0"/>
      </c:catAx>
      <c:valAx>
        <c:axId val="975046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1381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2e4872-db78-4212-9ce6-4b5414239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[Sales_Data.xlsx]Category_Pivot!PivotTable4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sales by category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Category_Pivot!$I$8:$I$12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Category_Pivot!$J$8:$J$12</c:f>
              <c:numCache>
                <c:formatCode>General</c:formatCode>
                <c:ptCount val="4"/>
                <c:pt idx="0">
                  <c:v>153600</c:v>
                </c:pt>
                <c:pt idx="1">
                  <c:v>3644000</c:v>
                </c:pt>
                <c:pt idx="2">
                  <c:v>1470000</c:v>
                </c:pt>
                <c:pt idx="3">
                  <c:v>5267600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569544"/>
        <c:axId val="388579190"/>
      </c:barChart>
      <c:catAx>
        <c:axId val="852569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579190"/>
        <c:crosses val="autoZero"/>
        <c:auto val="1"/>
        <c:lblAlgn val="ctr"/>
        <c:lblOffset val="100"/>
        <c:noMultiLvlLbl val="0"/>
      </c:catAx>
      <c:valAx>
        <c:axId val="388579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56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2b23a-90e6-4f8d-876f-8a287cb614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[Sales_Data.xlsx]Sales by salesperson!PivotTable2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8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 sz="1080" b="1"/>
              <a:t>sales by salesperson</a:t>
            </a:r>
            <a:endParaRPr lang="en-IN" altLang="zh-CN" sz="1080" b="1"/>
          </a:p>
        </c:rich>
      </c:tx>
      <c:layout>
        <c:manualLayout>
          <c:xMode val="edge"/>
          <c:yMode val="edge"/>
          <c:x val="0.31532894736842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salesperson'!$B$1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salesperson'!$A$2:$A$6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Ravi</c:v>
                </c:pt>
              </c:strCache>
            </c:strRef>
          </c:cat>
          <c:val>
            <c:numRef>
              <c:f>'Sales by salesperson'!$B$2:$B$6</c:f>
              <c:numCache>
                <c:formatCode>General</c:formatCode>
                <c:ptCount val="4"/>
                <c:pt idx="0">
                  <c:v>1472600</c:v>
                </c:pt>
                <c:pt idx="1">
                  <c:v>1104000</c:v>
                </c:pt>
                <c:pt idx="2">
                  <c:v>1246000</c:v>
                </c:pt>
                <c:pt idx="3">
                  <c:v>1445000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42420123"/>
        <c:axId val="848984097"/>
      </c:barChart>
      <c:catAx>
        <c:axId val="342420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48984097"/>
        <c:crosses val="autoZero"/>
        <c:auto val="1"/>
        <c:lblAlgn val="ctr"/>
        <c:lblOffset val="100"/>
        <c:noMultiLvlLbl val="0"/>
      </c:catAx>
      <c:valAx>
        <c:axId val="8489840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424201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[Sales_Data.xlsx]Pivot_Table!PivotTable2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Pivot_Table!$B$2:$B$6</c:f>
              <c:numCache>
                <c:formatCode>General</c:formatCode>
                <c:ptCount val="4"/>
                <c:pt idx="0">
                  <c:v>1445000</c:v>
                </c:pt>
                <c:pt idx="1">
                  <c:v>1472600</c:v>
                </c:pt>
                <c:pt idx="2">
                  <c:v>1104000</c:v>
                </c:pt>
                <c:pt idx="3">
                  <c:v>1246000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23138132"/>
        <c:axId val="97504618"/>
      </c:barChart>
      <c:catAx>
        <c:axId val="923138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04618"/>
        <c:crosses val="autoZero"/>
        <c:auto val="1"/>
        <c:lblAlgn val="ctr"/>
        <c:lblOffset val="100"/>
        <c:noMultiLvlLbl val="0"/>
      </c:catAx>
      <c:valAx>
        <c:axId val="975046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1381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2e4872-db78-4212-9ce6-4b5414239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[Sales_Data.xlsx]Category_Pivot!PivotTable4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sales by category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Category_Pivot!$I$8:$I$12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Category_Pivot!$J$8:$J$12</c:f>
              <c:numCache>
                <c:formatCode>General</c:formatCode>
                <c:ptCount val="4"/>
                <c:pt idx="0">
                  <c:v>153600</c:v>
                </c:pt>
                <c:pt idx="1">
                  <c:v>3644000</c:v>
                </c:pt>
                <c:pt idx="2">
                  <c:v>1470000</c:v>
                </c:pt>
                <c:pt idx="3">
                  <c:v>5267600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569544"/>
        <c:axId val="388579190"/>
      </c:barChart>
      <c:catAx>
        <c:axId val="852569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579190"/>
        <c:crosses val="autoZero"/>
        <c:auto val="1"/>
        <c:lblAlgn val="ctr"/>
        <c:lblOffset val="100"/>
        <c:noMultiLvlLbl val="0"/>
      </c:catAx>
      <c:valAx>
        <c:axId val="388579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56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2b23a-90e6-4f8d-876f-8a287cb614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[Sales_Data.xlsx]Sales by salesperson!PivotTable2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8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 sz="1080" b="1"/>
              <a:t>sales by salesperson</a:t>
            </a:r>
            <a:endParaRPr lang="en-IN" altLang="zh-CN" sz="1080" b="1"/>
          </a:p>
        </c:rich>
      </c:tx>
      <c:layout>
        <c:manualLayout>
          <c:xMode val="edge"/>
          <c:yMode val="edge"/>
          <c:x val="0.31532894736842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salesperson'!$B$1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salesperson'!$A$2:$A$6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Pooja</c:v>
                </c:pt>
                <c:pt idx="3">
                  <c:v>Ravi</c:v>
                </c:pt>
              </c:strCache>
            </c:strRef>
          </c:cat>
          <c:val>
            <c:numRef>
              <c:f>'Sales by salesperson'!$B$2:$B$6</c:f>
              <c:numCache>
                <c:formatCode>General</c:formatCode>
                <c:ptCount val="4"/>
                <c:pt idx="0">
                  <c:v>1472600</c:v>
                </c:pt>
                <c:pt idx="1">
                  <c:v>1104000</c:v>
                </c:pt>
                <c:pt idx="2">
                  <c:v>1246000</c:v>
                </c:pt>
                <c:pt idx="3">
                  <c:v>1445000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42420123"/>
        <c:axId val="848984097"/>
      </c:barChart>
      <c:catAx>
        <c:axId val="342420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48984097"/>
        <c:crosses val="autoZero"/>
        <c:auto val="1"/>
        <c:lblAlgn val="ctr"/>
        <c:lblOffset val="100"/>
        <c:noMultiLvlLbl val="0"/>
      </c:catAx>
      <c:valAx>
        <c:axId val="8489840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424201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246ffd-3062-4e20-8dad-576de6901b1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541020</xdr:colOff>
      <xdr:row>6</xdr:row>
      <xdr:rowOff>172720</xdr:rowOff>
    </xdr:from>
    <xdr:to>
      <xdr:col>11</xdr:col>
      <xdr:colOff>490220</xdr:colOff>
      <xdr:row>21</xdr:row>
      <xdr:rowOff>172720</xdr:rowOff>
    </xdr:to>
    <xdr:graphicFrame>
      <xdr:nvGraphicFramePr>
        <xdr:cNvPr id="4" name="Chart 3"/>
        <xdr:cNvGraphicFramePr/>
      </xdr:nvGraphicFramePr>
      <xdr:xfrm>
        <a:off x="2819400" y="127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33020</xdr:colOff>
      <xdr:row>5</xdr:row>
      <xdr:rowOff>58420</xdr:rowOff>
    </xdr:from>
    <xdr:to>
      <xdr:col>10</xdr:col>
      <xdr:colOff>591820</xdr:colOff>
      <xdr:row>20</xdr:row>
      <xdr:rowOff>58420</xdr:rowOff>
    </xdr:to>
    <xdr:graphicFrame>
      <xdr:nvGraphicFramePr>
        <xdr:cNvPr id="3" name="Chart 2"/>
        <xdr:cNvGraphicFramePr/>
      </xdr:nvGraphicFramePr>
      <xdr:xfrm>
        <a:off x="2311400" y="972820"/>
        <a:ext cx="5770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388620</xdr:colOff>
      <xdr:row>5</xdr:row>
      <xdr:rowOff>165100</xdr:rowOff>
    </xdr:from>
    <xdr:to>
      <xdr:col>11</xdr:col>
      <xdr:colOff>337820</xdr:colOff>
      <xdr:row>20</xdr:row>
      <xdr:rowOff>165100</xdr:rowOff>
    </xdr:to>
    <xdr:graphicFrame>
      <xdr:nvGraphicFramePr>
        <xdr:cNvPr id="2" name="Chart 1" descr="7b0a202020202263686172745265734964223a202234353536333835220a7d0a"/>
        <xdr:cNvGraphicFramePr/>
      </xdr:nvGraphicFramePr>
      <xdr:xfrm>
        <a:off x="2819400" y="1079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5</xdr:row>
      <xdr:rowOff>0</xdr:rowOff>
    </xdr:from>
    <xdr:to>
      <xdr:col>3</xdr:col>
      <xdr:colOff>321945</xdr:colOff>
      <xdr:row>16</xdr:row>
      <xdr:rowOff>46355</xdr:rowOff>
    </xdr:to>
    <xdr:graphicFrame>
      <xdr:nvGraphicFramePr>
        <xdr:cNvPr id="2" name="Chart 1"/>
        <xdr:cNvGraphicFramePr/>
      </xdr:nvGraphicFramePr>
      <xdr:xfrm>
        <a:off x="7620" y="1295400"/>
        <a:ext cx="3921125" cy="205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568960</xdr:colOff>
      <xdr:row>5</xdr:row>
      <xdr:rowOff>10160</xdr:rowOff>
    </xdr:from>
    <xdr:to>
      <xdr:col>8</xdr:col>
      <xdr:colOff>66675</xdr:colOff>
      <xdr:row>16</xdr:row>
      <xdr:rowOff>39370</xdr:rowOff>
    </xdr:to>
    <xdr:graphicFrame>
      <xdr:nvGraphicFramePr>
        <xdr:cNvPr id="3" name="Chart 2"/>
        <xdr:cNvGraphicFramePr/>
      </xdr:nvGraphicFramePr>
      <xdr:xfrm>
        <a:off x="4175760" y="1305560"/>
        <a:ext cx="4516755" cy="204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132080</xdr:colOff>
      <xdr:row>18</xdr:row>
      <xdr:rowOff>25400</xdr:rowOff>
    </xdr:from>
    <xdr:to>
      <xdr:col>5</xdr:col>
      <xdr:colOff>553720</xdr:colOff>
      <xdr:row>30</xdr:row>
      <xdr:rowOff>93980</xdr:rowOff>
    </xdr:to>
    <xdr:graphicFrame>
      <xdr:nvGraphicFramePr>
        <xdr:cNvPr id="4" name="Chart 3" descr="7b0a202020202263686172745265734964223a202234353536333835220a7d0a"/>
        <xdr:cNvGraphicFramePr/>
      </xdr:nvGraphicFramePr>
      <xdr:xfrm>
        <a:off x="1635760" y="3698240"/>
        <a:ext cx="4739640" cy="2263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6.7433796296" refreshedBy="venka" recordCount="100">
  <cacheSource type="worksheet">
    <worksheetSource ref="A1:J101" sheet="Sales_Data"/>
  </cacheSource>
  <cacheFields count="10">
    <cacheField name="Order ID" numFmtId="0">
      <sharedItems count="10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Date" numFmtId="0">
      <sharedItems count="100">
        <s v="01-01-2026"/>
        <s v="02-01-2026"/>
        <s v="03-01-2026"/>
        <s v="04-01-2026"/>
        <s v="05-01-2026"/>
        <s v="06-01-2026"/>
        <s v="07-01-2026"/>
        <s v="08-01-2026"/>
        <s v="09-01-2026"/>
        <s v="10-01-2026"/>
        <s v="11-01-2026"/>
        <s v="12-01-2026"/>
        <s v="13-01-2026"/>
        <s v="14-01-2026"/>
        <s v="15-01-2026"/>
        <s v="16-01-2026"/>
        <s v="17-01-2026"/>
        <s v="18-01-2026"/>
        <s v="19-01-2026"/>
        <s v="20-01-2026"/>
        <s v="21-01-2026"/>
        <s v="22-01-2026"/>
        <s v="23-01-2026"/>
        <s v="24-01-2026"/>
        <s v="25-01-2026"/>
        <s v="26-01-2026"/>
        <s v="27-01-2026"/>
        <s v="28-01-2026"/>
        <s v="29-01-2026"/>
        <s v="30-01-2026"/>
        <s v="31-01-2026"/>
        <s v="01-02-2026"/>
        <s v="02-02-2026"/>
        <s v="03-02-2026"/>
        <s v="04-02-2026"/>
        <s v="05-02-2026"/>
        <s v="06-02-2026"/>
        <s v="07-02-2026"/>
        <s v="08-02-2026"/>
        <s v="09-02-2026"/>
        <s v="10-02-2026"/>
        <s v="11-02-2026"/>
        <s v="12-02-2026"/>
        <s v="13-02-2026"/>
        <s v="14-02-2026"/>
        <s v="15-02-2026"/>
        <s v="16-02-2026"/>
        <s v="17-02-2026"/>
        <s v="18-02-2026"/>
        <s v="19-02-2026"/>
        <s v="20-02-2026"/>
        <s v="21-02-2026"/>
        <s v="22-02-2026"/>
        <s v="23-02-2026"/>
        <s v="24-02-2026"/>
        <s v="25-02-2026"/>
        <s v="26-02-2026"/>
        <s v="27-02-2026"/>
        <s v="28-02-2026"/>
        <s v="29-02-2026"/>
        <s v="30-02-2026"/>
        <s v="31-02-2026"/>
        <s v="32-02-2026"/>
        <s v="33-02-2026"/>
        <s v="34-02-2026"/>
        <s v="35-02-2026"/>
        <s v="36-02-2026"/>
        <s v="37-02-2026"/>
        <s v="38-02-2026"/>
        <s v="39-02-2026"/>
        <s v="40-02-2026"/>
        <s v="41-02-2026"/>
        <s v="42-02-2026"/>
        <s v="43-02-2026"/>
        <s v="44-02-2026"/>
        <s v="45-02-2026"/>
        <s v="46-02-2026"/>
        <s v="47-02-2026"/>
        <s v="48-02-2026"/>
        <s v="49-02-2026"/>
        <s v="50-02-2026"/>
        <s v="51-02-2026"/>
        <s v="52-02-2026"/>
        <s v="53-02-2026"/>
        <s v="54-02-2026"/>
        <s v="55-02-2026"/>
        <s v="56-02-2026"/>
        <s v="57-02-2026"/>
        <s v="58-02-2026"/>
        <s v="59-02-2026"/>
        <s v="60-02-2026"/>
        <s v="61-02-2026"/>
        <s v="62-02-2026"/>
        <s v="63-02-2026"/>
        <s v="64-02-2026"/>
        <s v="65-02-2026"/>
        <s v="66-02-2026"/>
        <s v="67-02-2026"/>
        <s v="68-02-2026"/>
        <s v="69-02-2026"/>
      </sharedItems>
    </cacheField>
    <cacheField name="Customer" numFmtId="0">
      <sharedItems count="20">
        <s v="Rahul"/>
        <s v="Priya"/>
        <s v="Arjun"/>
        <s v="Sneha"/>
        <s v="Kiran"/>
        <s v="Anjali"/>
        <s v="Vivek"/>
        <s v="Divya"/>
        <s v="Ramesh"/>
        <s v="Kavya"/>
        <s v="Suresh"/>
        <s v="Meena"/>
        <s v="Raju"/>
        <s v="Pavan"/>
        <s v="Nisha"/>
        <s v="Deepa"/>
        <s v="Ajay"/>
        <s v="Varun"/>
        <s v="Harsha"/>
        <s v="Keerthi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11">
        <s v="Laptop"/>
        <s v="Mobile"/>
        <s v="Printer"/>
        <s v="Monitor"/>
        <s v="Chair"/>
        <s v="Table"/>
        <s v="Desk"/>
        <s v="Sofa"/>
        <s v="Mouse"/>
        <s v="Keyboard"/>
        <s v="Headphones"/>
      </sharedItems>
    </cacheField>
    <cacheField name="Category" numFmtId="0">
      <sharedItems count="3">
        <s v="Electronics"/>
        <s v="Furniture"/>
        <s v="Accessories"/>
      </sharedItems>
    </cacheField>
    <cacheField name="Quantity" numFmtId="0">
      <sharedItems containsSemiMixedTypes="0" containsString="0" containsNumber="1" containsInteger="1" minValue="0" maxValue="6" count="6">
        <n v="2"/>
        <n v="3"/>
        <n v="4"/>
        <n v="5"/>
        <n v="6"/>
        <n v="1"/>
      </sharedItems>
    </cacheField>
    <cacheField name="Unit Price" numFmtId="0">
      <sharedItems containsSemiMixedTypes="0" containsString="0" containsNumber="1" containsInteger="1" minValue="0" maxValue="55000" count="11">
        <n v="55000"/>
        <n v="25000"/>
        <n v="15000"/>
        <n v="18000"/>
        <n v="3500"/>
        <n v="8000"/>
        <n v="9000"/>
        <n v="30000"/>
        <n v="800"/>
        <n v="1200"/>
        <n v="2500"/>
      </sharedItems>
    </cacheField>
    <cacheField name="Sales" numFmtId="0">
      <sharedItems containsSemiMixedTypes="0" containsString="0" containsNumber="1" containsInteger="1" minValue="0" maxValue="330000" count="53">
        <n v="110000"/>
        <n v="75000"/>
        <n v="60000"/>
        <n v="90000"/>
        <n v="21000"/>
        <n v="8000"/>
        <n v="18000"/>
        <n v="3200"/>
        <n v="6000"/>
        <n v="15000"/>
        <n v="55000"/>
        <n v="50000"/>
        <n v="45000"/>
        <n v="72000"/>
        <n v="17500"/>
        <n v="48000"/>
        <n v="9000"/>
        <n v="2400"/>
        <n v="4800"/>
        <n v="12500"/>
        <n v="330000"/>
        <n v="25000"/>
        <n v="30000"/>
        <n v="54000"/>
        <n v="14000"/>
        <n v="40000"/>
        <n v="1600"/>
        <n v="3600"/>
        <n v="10000"/>
        <n v="275000"/>
        <n v="150000"/>
        <n v="36000"/>
        <n v="10500"/>
        <n v="32000"/>
        <n v="180000"/>
        <n v="800"/>
        <n v="7500"/>
        <n v="220000"/>
        <n v="125000"/>
        <n v="7000"/>
        <n v="24000"/>
        <n v="1200"/>
        <n v="5000"/>
        <n v="165000"/>
        <n v="100000"/>
        <n v="108000"/>
        <n v="3500"/>
        <n v="16000"/>
        <n v="27000"/>
        <n v="120000"/>
        <n v="4000"/>
        <n v="7200"/>
        <n v="2500"/>
      </sharedItems>
    </cacheField>
    <cacheField name="Salesperson" numFmtId="0">
      <sharedItems count="4">
        <s v="Amit"/>
        <s v="Neha"/>
        <s v="Ravi"/>
        <s v="Pooj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7.8867708333" refreshedBy="venka" recordCount="4">
  <cacheSource type="worksheet">
    <worksheetSource ref="A1:B5" sheet="Category_Pivot"/>
  </cacheSource>
  <cacheFields count="2">
    <cacheField name="Category" numFmtId="0">
      <sharedItems count="4">
        <s v="Accessories"/>
        <s v="Electronics"/>
        <s v="Furniture"/>
        <s v="Grand Total"/>
      </sharedItems>
    </cacheField>
    <cacheField name="Sum of Sales" numFmtId="0">
      <sharedItems containsSemiMixedTypes="0" containsString="0" containsNumber="1" containsInteger="1" minValue="0" maxValue="5267600" count="4">
        <n v="153600"/>
        <n v="3644000"/>
        <n v="1470000"/>
        <n v="52676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7882175926" refreshedBy="venka" recordCount="101">
  <cacheSource type="worksheet">
    <worksheetSource ref="A1:J102" sheet="Sales_Data"/>
  </cacheSource>
  <cacheFields count="10">
    <cacheField name="Order ID" numFmtId="0">
      <sharedItems containsBlank="1" count="101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m/>
      </sharedItems>
    </cacheField>
    <cacheField name="Date" numFmtId="0">
      <sharedItems containsBlank="1" count="101">
        <s v="01-01-2026"/>
        <s v="02-01-2026"/>
        <s v="03-01-2026"/>
        <s v="04-01-2026"/>
        <s v="05-01-2026"/>
        <s v="06-01-2026"/>
        <s v="07-01-2026"/>
        <s v="08-01-2026"/>
        <s v="09-01-2026"/>
        <s v="10-01-2026"/>
        <s v="11-01-2026"/>
        <s v="12-01-2026"/>
        <s v="13-01-2026"/>
        <s v="14-01-2026"/>
        <s v="15-01-2026"/>
        <s v="16-01-2026"/>
        <s v="17-01-2026"/>
        <s v="18-01-2026"/>
        <s v="19-01-2026"/>
        <s v="20-01-2026"/>
        <s v="21-01-2026"/>
        <s v="22-01-2026"/>
        <s v="23-01-2026"/>
        <s v="24-01-2026"/>
        <s v="25-01-2026"/>
        <s v="26-01-2026"/>
        <s v="27-01-2026"/>
        <s v="28-01-2026"/>
        <s v="29-01-2026"/>
        <s v="30-01-2026"/>
        <s v="31-01-2026"/>
        <s v="01-02-2026"/>
        <s v="02-02-2026"/>
        <s v="03-02-2026"/>
        <s v="04-02-2026"/>
        <s v="05-02-2026"/>
        <s v="06-02-2026"/>
        <s v="07-02-2026"/>
        <s v="08-02-2026"/>
        <s v="09-02-2026"/>
        <s v="10-02-2026"/>
        <s v="11-02-2026"/>
        <s v="12-02-2026"/>
        <s v="13-02-2026"/>
        <s v="14-02-2026"/>
        <s v="15-02-2026"/>
        <s v="16-02-2026"/>
        <s v="17-02-2026"/>
        <s v="18-02-2026"/>
        <s v="19-02-2026"/>
        <s v="20-02-2026"/>
        <s v="21-02-2026"/>
        <s v="22-02-2026"/>
        <s v="23-02-2026"/>
        <s v="24-02-2026"/>
        <s v="25-02-2026"/>
        <s v="26-02-2026"/>
        <s v="27-02-2026"/>
        <s v="28-02-2026"/>
        <s v="29-02-2026"/>
        <s v="30-02-2026"/>
        <s v="31-02-2026"/>
        <s v="32-02-2026"/>
        <s v="33-02-2026"/>
        <s v="34-02-2026"/>
        <s v="35-02-2026"/>
        <s v="36-02-2026"/>
        <s v="37-02-2026"/>
        <s v="38-02-2026"/>
        <s v="39-02-2026"/>
        <s v="40-02-2026"/>
        <s v="41-02-2026"/>
        <s v="42-02-2026"/>
        <s v="43-02-2026"/>
        <s v="44-02-2026"/>
        <s v="45-02-2026"/>
        <s v="46-02-2026"/>
        <s v="47-02-2026"/>
        <s v="48-02-2026"/>
        <s v="49-02-2026"/>
        <s v="50-02-2026"/>
        <s v="51-02-2026"/>
        <s v="52-02-2026"/>
        <s v="53-02-2026"/>
        <s v="54-02-2026"/>
        <s v="55-02-2026"/>
        <s v="56-02-2026"/>
        <s v="57-02-2026"/>
        <s v="58-02-2026"/>
        <s v="59-02-2026"/>
        <s v="60-02-2026"/>
        <s v="61-02-2026"/>
        <s v="62-02-2026"/>
        <s v="63-02-2026"/>
        <s v="64-02-2026"/>
        <s v="65-02-2026"/>
        <s v="66-02-2026"/>
        <s v="67-02-2026"/>
        <s v="68-02-2026"/>
        <s v="69-02-2026"/>
        <m/>
      </sharedItems>
    </cacheField>
    <cacheField name="Customer" numFmtId="0">
      <sharedItems containsBlank="1" count="21">
        <s v="Rahul"/>
        <s v="Priya"/>
        <s v="Arjun"/>
        <s v="Sneha"/>
        <s v="Kiran"/>
        <s v="Anjali"/>
        <s v="Vivek"/>
        <s v="Divya"/>
        <s v="Ramesh"/>
        <s v="Kavya"/>
        <s v="Suresh"/>
        <s v="Meena"/>
        <s v="Raju"/>
        <s v="Pavan"/>
        <s v="Nisha"/>
        <s v="Deepa"/>
        <s v="Ajay"/>
        <s v="Varun"/>
        <s v="Harsha"/>
        <s v="Keerthi"/>
        <m/>
      </sharedItems>
    </cacheField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ntainsBlank="1" count="12">
        <s v="Laptop"/>
        <s v="Mobile"/>
        <s v="Printer"/>
        <s v="Monitor"/>
        <s v="Chair"/>
        <s v="Table"/>
        <s v="Desk"/>
        <s v="Sofa"/>
        <s v="Mouse"/>
        <s v="Keyboard"/>
        <s v="Headphones"/>
        <m/>
      </sharedItems>
    </cacheField>
    <cacheField name="Category" numFmtId="0">
      <sharedItems containsBlank="1" count="4">
        <s v="Electronics"/>
        <s v="Furniture"/>
        <s v="Accessories"/>
        <m/>
      </sharedItems>
    </cacheField>
    <cacheField name="Quantity" numFmtId="0">
      <sharedItems containsString="0" containsBlank="1" containsNumber="1" containsInteger="1" minValue="1" maxValue="6" count="7">
        <n v="2"/>
        <n v="3"/>
        <n v="4"/>
        <n v="5"/>
        <n v="6"/>
        <n v="1"/>
        <m/>
      </sharedItems>
    </cacheField>
    <cacheField name="Unit Price" numFmtId="0">
      <sharedItems containsString="0" containsBlank="1" containsNumber="1" containsInteger="1" minValue="800" maxValue="55000" count="12">
        <n v="55000"/>
        <n v="25000"/>
        <n v="15000"/>
        <n v="18000"/>
        <n v="3500"/>
        <n v="8000"/>
        <n v="9000"/>
        <n v="30000"/>
        <n v="800"/>
        <n v="1200"/>
        <n v="2500"/>
        <m/>
      </sharedItems>
    </cacheField>
    <cacheField name="Sales" numFmtId="0">
      <sharedItems containsString="0" containsBlank="1" containsNumber="1" containsInteger="1" minValue="800" maxValue="330000" count="54">
        <n v="110000"/>
        <n v="75000"/>
        <n v="60000"/>
        <n v="90000"/>
        <n v="21000"/>
        <n v="8000"/>
        <n v="18000"/>
        <n v="3200"/>
        <n v="6000"/>
        <n v="15000"/>
        <n v="55000"/>
        <n v="50000"/>
        <n v="45000"/>
        <n v="72000"/>
        <n v="17500"/>
        <n v="48000"/>
        <n v="9000"/>
        <n v="2400"/>
        <n v="4800"/>
        <n v="12500"/>
        <n v="330000"/>
        <n v="25000"/>
        <n v="30000"/>
        <n v="54000"/>
        <n v="14000"/>
        <n v="40000"/>
        <n v="1600"/>
        <n v="3600"/>
        <n v="10000"/>
        <n v="275000"/>
        <n v="150000"/>
        <n v="36000"/>
        <n v="10500"/>
        <n v="32000"/>
        <n v="180000"/>
        <n v="800"/>
        <n v="7500"/>
        <n v="220000"/>
        <n v="125000"/>
        <n v="7000"/>
        <n v="24000"/>
        <n v="1200"/>
        <n v="5000"/>
        <n v="165000"/>
        <n v="100000"/>
        <n v="108000"/>
        <n v="3500"/>
        <n v="16000"/>
        <n v="27000"/>
        <n v="120000"/>
        <n v="4000"/>
        <n v="7200"/>
        <n v="2500"/>
        <m/>
      </sharedItems>
    </cacheField>
    <cacheField name="Salesperson" numFmtId="0">
      <sharedItems containsBlank="1" count="5">
        <s v="Amit"/>
        <s v="Neha"/>
        <s v="Ravi"/>
        <s v="Pooj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</r>
  <r>
    <x v="2"/>
    <x v="2"/>
    <x v="2"/>
    <x v="2"/>
    <x v="2"/>
    <x v="0"/>
    <x v="2"/>
    <x v="2"/>
    <x v="2"/>
    <x v="2"/>
  </r>
  <r>
    <x v="3"/>
    <x v="3"/>
    <x v="3"/>
    <x v="3"/>
    <x v="3"/>
    <x v="0"/>
    <x v="3"/>
    <x v="3"/>
    <x v="3"/>
    <x v="3"/>
  </r>
  <r>
    <x v="4"/>
    <x v="4"/>
    <x v="4"/>
    <x v="0"/>
    <x v="4"/>
    <x v="1"/>
    <x v="4"/>
    <x v="4"/>
    <x v="4"/>
    <x v="0"/>
  </r>
  <r>
    <x v="5"/>
    <x v="5"/>
    <x v="5"/>
    <x v="1"/>
    <x v="5"/>
    <x v="1"/>
    <x v="5"/>
    <x v="5"/>
    <x v="5"/>
    <x v="1"/>
  </r>
  <r>
    <x v="6"/>
    <x v="6"/>
    <x v="6"/>
    <x v="2"/>
    <x v="6"/>
    <x v="1"/>
    <x v="0"/>
    <x v="6"/>
    <x v="6"/>
    <x v="2"/>
  </r>
  <r>
    <x v="7"/>
    <x v="7"/>
    <x v="7"/>
    <x v="3"/>
    <x v="7"/>
    <x v="1"/>
    <x v="1"/>
    <x v="7"/>
    <x v="3"/>
    <x v="3"/>
  </r>
  <r>
    <x v="8"/>
    <x v="8"/>
    <x v="8"/>
    <x v="0"/>
    <x v="8"/>
    <x v="2"/>
    <x v="2"/>
    <x v="8"/>
    <x v="7"/>
    <x v="0"/>
  </r>
  <r>
    <x v="9"/>
    <x v="9"/>
    <x v="9"/>
    <x v="1"/>
    <x v="9"/>
    <x v="2"/>
    <x v="3"/>
    <x v="9"/>
    <x v="8"/>
    <x v="1"/>
  </r>
  <r>
    <x v="10"/>
    <x v="10"/>
    <x v="10"/>
    <x v="2"/>
    <x v="10"/>
    <x v="2"/>
    <x v="4"/>
    <x v="10"/>
    <x v="9"/>
    <x v="2"/>
  </r>
  <r>
    <x v="11"/>
    <x v="11"/>
    <x v="11"/>
    <x v="3"/>
    <x v="0"/>
    <x v="0"/>
    <x v="5"/>
    <x v="0"/>
    <x v="10"/>
    <x v="3"/>
  </r>
  <r>
    <x v="12"/>
    <x v="12"/>
    <x v="12"/>
    <x v="0"/>
    <x v="1"/>
    <x v="0"/>
    <x v="0"/>
    <x v="1"/>
    <x v="11"/>
    <x v="0"/>
  </r>
  <r>
    <x v="13"/>
    <x v="13"/>
    <x v="13"/>
    <x v="1"/>
    <x v="2"/>
    <x v="0"/>
    <x v="1"/>
    <x v="2"/>
    <x v="12"/>
    <x v="1"/>
  </r>
  <r>
    <x v="14"/>
    <x v="14"/>
    <x v="14"/>
    <x v="2"/>
    <x v="3"/>
    <x v="0"/>
    <x v="2"/>
    <x v="3"/>
    <x v="13"/>
    <x v="2"/>
  </r>
  <r>
    <x v="15"/>
    <x v="15"/>
    <x v="15"/>
    <x v="3"/>
    <x v="4"/>
    <x v="1"/>
    <x v="3"/>
    <x v="4"/>
    <x v="14"/>
    <x v="3"/>
  </r>
  <r>
    <x v="16"/>
    <x v="16"/>
    <x v="16"/>
    <x v="0"/>
    <x v="5"/>
    <x v="1"/>
    <x v="4"/>
    <x v="5"/>
    <x v="15"/>
    <x v="0"/>
  </r>
  <r>
    <x v="17"/>
    <x v="17"/>
    <x v="17"/>
    <x v="1"/>
    <x v="6"/>
    <x v="1"/>
    <x v="5"/>
    <x v="6"/>
    <x v="16"/>
    <x v="1"/>
  </r>
  <r>
    <x v="18"/>
    <x v="18"/>
    <x v="18"/>
    <x v="2"/>
    <x v="7"/>
    <x v="1"/>
    <x v="0"/>
    <x v="7"/>
    <x v="2"/>
    <x v="2"/>
  </r>
  <r>
    <x v="19"/>
    <x v="19"/>
    <x v="19"/>
    <x v="3"/>
    <x v="8"/>
    <x v="2"/>
    <x v="1"/>
    <x v="8"/>
    <x v="17"/>
    <x v="3"/>
  </r>
  <r>
    <x v="20"/>
    <x v="20"/>
    <x v="0"/>
    <x v="0"/>
    <x v="9"/>
    <x v="2"/>
    <x v="2"/>
    <x v="9"/>
    <x v="18"/>
    <x v="0"/>
  </r>
  <r>
    <x v="21"/>
    <x v="21"/>
    <x v="1"/>
    <x v="1"/>
    <x v="10"/>
    <x v="2"/>
    <x v="3"/>
    <x v="10"/>
    <x v="19"/>
    <x v="1"/>
  </r>
  <r>
    <x v="22"/>
    <x v="22"/>
    <x v="2"/>
    <x v="2"/>
    <x v="0"/>
    <x v="0"/>
    <x v="4"/>
    <x v="0"/>
    <x v="20"/>
    <x v="2"/>
  </r>
  <r>
    <x v="23"/>
    <x v="23"/>
    <x v="3"/>
    <x v="3"/>
    <x v="1"/>
    <x v="0"/>
    <x v="5"/>
    <x v="1"/>
    <x v="21"/>
    <x v="3"/>
  </r>
  <r>
    <x v="24"/>
    <x v="24"/>
    <x v="4"/>
    <x v="0"/>
    <x v="2"/>
    <x v="0"/>
    <x v="0"/>
    <x v="2"/>
    <x v="22"/>
    <x v="0"/>
  </r>
  <r>
    <x v="25"/>
    <x v="25"/>
    <x v="5"/>
    <x v="1"/>
    <x v="3"/>
    <x v="0"/>
    <x v="1"/>
    <x v="3"/>
    <x v="23"/>
    <x v="1"/>
  </r>
  <r>
    <x v="26"/>
    <x v="26"/>
    <x v="6"/>
    <x v="2"/>
    <x v="4"/>
    <x v="1"/>
    <x v="2"/>
    <x v="4"/>
    <x v="24"/>
    <x v="2"/>
  </r>
  <r>
    <x v="27"/>
    <x v="27"/>
    <x v="7"/>
    <x v="3"/>
    <x v="5"/>
    <x v="1"/>
    <x v="3"/>
    <x v="5"/>
    <x v="25"/>
    <x v="3"/>
  </r>
  <r>
    <x v="28"/>
    <x v="28"/>
    <x v="8"/>
    <x v="0"/>
    <x v="6"/>
    <x v="1"/>
    <x v="4"/>
    <x v="6"/>
    <x v="23"/>
    <x v="0"/>
  </r>
  <r>
    <x v="29"/>
    <x v="29"/>
    <x v="9"/>
    <x v="1"/>
    <x v="7"/>
    <x v="1"/>
    <x v="5"/>
    <x v="7"/>
    <x v="22"/>
    <x v="1"/>
  </r>
  <r>
    <x v="30"/>
    <x v="30"/>
    <x v="10"/>
    <x v="2"/>
    <x v="8"/>
    <x v="2"/>
    <x v="0"/>
    <x v="8"/>
    <x v="26"/>
    <x v="2"/>
  </r>
  <r>
    <x v="31"/>
    <x v="31"/>
    <x v="11"/>
    <x v="3"/>
    <x v="9"/>
    <x v="2"/>
    <x v="1"/>
    <x v="9"/>
    <x v="27"/>
    <x v="3"/>
  </r>
  <r>
    <x v="32"/>
    <x v="32"/>
    <x v="12"/>
    <x v="0"/>
    <x v="10"/>
    <x v="2"/>
    <x v="2"/>
    <x v="10"/>
    <x v="28"/>
    <x v="0"/>
  </r>
  <r>
    <x v="33"/>
    <x v="33"/>
    <x v="13"/>
    <x v="1"/>
    <x v="0"/>
    <x v="0"/>
    <x v="3"/>
    <x v="0"/>
    <x v="29"/>
    <x v="1"/>
  </r>
  <r>
    <x v="34"/>
    <x v="34"/>
    <x v="14"/>
    <x v="2"/>
    <x v="1"/>
    <x v="0"/>
    <x v="4"/>
    <x v="1"/>
    <x v="30"/>
    <x v="2"/>
  </r>
  <r>
    <x v="35"/>
    <x v="35"/>
    <x v="15"/>
    <x v="3"/>
    <x v="2"/>
    <x v="0"/>
    <x v="5"/>
    <x v="2"/>
    <x v="9"/>
    <x v="3"/>
  </r>
  <r>
    <x v="36"/>
    <x v="36"/>
    <x v="16"/>
    <x v="0"/>
    <x v="3"/>
    <x v="0"/>
    <x v="0"/>
    <x v="3"/>
    <x v="31"/>
    <x v="0"/>
  </r>
  <r>
    <x v="37"/>
    <x v="37"/>
    <x v="17"/>
    <x v="1"/>
    <x v="4"/>
    <x v="1"/>
    <x v="1"/>
    <x v="4"/>
    <x v="32"/>
    <x v="1"/>
  </r>
  <r>
    <x v="38"/>
    <x v="38"/>
    <x v="18"/>
    <x v="2"/>
    <x v="5"/>
    <x v="1"/>
    <x v="2"/>
    <x v="5"/>
    <x v="33"/>
    <x v="2"/>
  </r>
  <r>
    <x v="39"/>
    <x v="39"/>
    <x v="19"/>
    <x v="3"/>
    <x v="6"/>
    <x v="1"/>
    <x v="3"/>
    <x v="6"/>
    <x v="12"/>
    <x v="3"/>
  </r>
  <r>
    <x v="40"/>
    <x v="40"/>
    <x v="0"/>
    <x v="0"/>
    <x v="7"/>
    <x v="1"/>
    <x v="4"/>
    <x v="7"/>
    <x v="34"/>
    <x v="0"/>
  </r>
  <r>
    <x v="41"/>
    <x v="41"/>
    <x v="1"/>
    <x v="1"/>
    <x v="8"/>
    <x v="2"/>
    <x v="5"/>
    <x v="8"/>
    <x v="35"/>
    <x v="1"/>
  </r>
  <r>
    <x v="42"/>
    <x v="42"/>
    <x v="2"/>
    <x v="2"/>
    <x v="9"/>
    <x v="2"/>
    <x v="0"/>
    <x v="9"/>
    <x v="17"/>
    <x v="2"/>
  </r>
  <r>
    <x v="43"/>
    <x v="43"/>
    <x v="3"/>
    <x v="3"/>
    <x v="10"/>
    <x v="2"/>
    <x v="1"/>
    <x v="10"/>
    <x v="36"/>
    <x v="3"/>
  </r>
  <r>
    <x v="44"/>
    <x v="44"/>
    <x v="4"/>
    <x v="0"/>
    <x v="0"/>
    <x v="0"/>
    <x v="2"/>
    <x v="0"/>
    <x v="37"/>
    <x v="0"/>
  </r>
  <r>
    <x v="45"/>
    <x v="45"/>
    <x v="5"/>
    <x v="1"/>
    <x v="1"/>
    <x v="0"/>
    <x v="3"/>
    <x v="1"/>
    <x v="38"/>
    <x v="1"/>
  </r>
  <r>
    <x v="46"/>
    <x v="46"/>
    <x v="6"/>
    <x v="2"/>
    <x v="2"/>
    <x v="0"/>
    <x v="4"/>
    <x v="2"/>
    <x v="3"/>
    <x v="2"/>
  </r>
  <r>
    <x v="47"/>
    <x v="47"/>
    <x v="7"/>
    <x v="3"/>
    <x v="3"/>
    <x v="0"/>
    <x v="5"/>
    <x v="3"/>
    <x v="6"/>
    <x v="3"/>
  </r>
  <r>
    <x v="48"/>
    <x v="48"/>
    <x v="8"/>
    <x v="0"/>
    <x v="4"/>
    <x v="1"/>
    <x v="0"/>
    <x v="4"/>
    <x v="39"/>
    <x v="0"/>
  </r>
  <r>
    <x v="49"/>
    <x v="49"/>
    <x v="9"/>
    <x v="1"/>
    <x v="5"/>
    <x v="1"/>
    <x v="1"/>
    <x v="5"/>
    <x v="40"/>
    <x v="1"/>
  </r>
  <r>
    <x v="50"/>
    <x v="50"/>
    <x v="10"/>
    <x v="2"/>
    <x v="6"/>
    <x v="1"/>
    <x v="2"/>
    <x v="6"/>
    <x v="31"/>
    <x v="2"/>
  </r>
  <r>
    <x v="51"/>
    <x v="51"/>
    <x v="11"/>
    <x v="3"/>
    <x v="7"/>
    <x v="1"/>
    <x v="3"/>
    <x v="7"/>
    <x v="30"/>
    <x v="3"/>
  </r>
  <r>
    <x v="52"/>
    <x v="52"/>
    <x v="12"/>
    <x v="0"/>
    <x v="8"/>
    <x v="2"/>
    <x v="4"/>
    <x v="8"/>
    <x v="18"/>
    <x v="0"/>
  </r>
  <r>
    <x v="53"/>
    <x v="53"/>
    <x v="13"/>
    <x v="1"/>
    <x v="9"/>
    <x v="2"/>
    <x v="5"/>
    <x v="9"/>
    <x v="41"/>
    <x v="1"/>
  </r>
  <r>
    <x v="54"/>
    <x v="54"/>
    <x v="14"/>
    <x v="2"/>
    <x v="10"/>
    <x v="2"/>
    <x v="0"/>
    <x v="10"/>
    <x v="42"/>
    <x v="2"/>
  </r>
  <r>
    <x v="55"/>
    <x v="55"/>
    <x v="15"/>
    <x v="3"/>
    <x v="0"/>
    <x v="0"/>
    <x v="1"/>
    <x v="0"/>
    <x v="43"/>
    <x v="3"/>
  </r>
  <r>
    <x v="56"/>
    <x v="56"/>
    <x v="16"/>
    <x v="0"/>
    <x v="1"/>
    <x v="0"/>
    <x v="2"/>
    <x v="1"/>
    <x v="44"/>
    <x v="0"/>
  </r>
  <r>
    <x v="57"/>
    <x v="57"/>
    <x v="17"/>
    <x v="1"/>
    <x v="2"/>
    <x v="0"/>
    <x v="3"/>
    <x v="2"/>
    <x v="1"/>
    <x v="1"/>
  </r>
  <r>
    <x v="58"/>
    <x v="58"/>
    <x v="18"/>
    <x v="2"/>
    <x v="3"/>
    <x v="0"/>
    <x v="4"/>
    <x v="3"/>
    <x v="45"/>
    <x v="2"/>
  </r>
  <r>
    <x v="59"/>
    <x v="59"/>
    <x v="19"/>
    <x v="3"/>
    <x v="4"/>
    <x v="1"/>
    <x v="5"/>
    <x v="4"/>
    <x v="46"/>
    <x v="3"/>
  </r>
  <r>
    <x v="60"/>
    <x v="60"/>
    <x v="0"/>
    <x v="0"/>
    <x v="5"/>
    <x v="1"/>
    <x v="0"/>
    <x v="5"/>
    <x v="47"/>
    <x v="0"/>
  </r>
  <r>
    <x v="61"/>
    <x v="61"/>
    <x v="1"/>
    <x v="1"/>
    <x v="6"/>
    <x v="1"/>
    <x v="1"/>
    <x v="6"/>
    <x v="48"/>
    <x v="1"/>
  </r>
  <r>
    <x v="62"/>
    <x v="62"/>
    <x v="2"/>
    <x v="2"/>
    <x v="7"/>
    <x v="1"/>
    <x v="2"/>
    <x v="7"/>
    <x v="49"/>
    <x v="2"/>
  </r>
  <r>
    <x v="63"/>
    <x v="63"/>
    <x v="3"/>
    <x v="3"/>
    <x v="8"/>
    <x v="2"/>
    <x v="3"/>
    <x v="8"/>
    <x v="50"/>
    <x v="3"/>
  </r>
  <r>
    <x v="64"/>
    <x v="64"/>
    <x v="4"/>
    <x v="0"/>
    <x v="9"/>
    <x v="2"/>
    <x v="4"/>
    <x v="9"/>
    <x v="51"/>
    <x v="0"/>
  </r>
  <r>
    <x v="65"/>
    <x v="65"/>
    <x v="5"/>
    <x v="1"/>
    <x v="10"/>
    <x v="2"/>
    <x v="5"/>
    <x v="10"/>
    <x v="52"/>
    <x v="1"/>
  </r>
  <r>
    <x v="66"/>
    <x v="66"/>
    <x v="6"/>
    <x v="2"/>
    <x v="0"/>
    <x v="0"/>
    <x v="0"/>
    <x v="0"/>
    <x v="0"/>
    <x v="2"/>
  </r>
  <r>
    <x v="67"/>
    <x v="67"/>
    <x v="7"/>
    <x v="3"/>
    <x v="1"/>
    <x v="0"/>
    <x v="1"/>
    <x v="1"/>
    <x v="1"/>
    <x v="3"/>
  </r>
  <r>
    <x v="68"/>
    <x v="68"/>
    <x v="8"/>
    <x v="0"/>
    <x v="2"/>
    <x v="0"/>
    <x v="2"/>
    <x v="2"/>
    <x v="2"/>
    <x v="0"/>
  </r>
  <r>
    <x v="69"/>
    <x v="69"/>
    <x v="9"/>
    <x v="1"/>
    <x v="3"/>
    <x v="0"/>
    <x v="3"/>
    <x v="3"/>
    <x v="3"/>
    <x v="1"/>
  </r>
  <r>
    <x v="70"/>
    <x v="70"/>
    <x v="10"/>
    <x v="2"/>
    <x v="4"/>
    <x v="1"/>
    <x v="4"/>
    <x v="4"/>
    <x v="4"/>
    <x v="2"/>
  </r>
  <r>
    <x v="71"/>
    <x v="71"/>
    <x v="11"/>
    <x v="3"/>
    <x v="5"/>
    <x v="1"/>
    <x v="5"/>
    <x v="5"/>
    <x v="5"/>
    <x v="3"/>
  </r>
  <r>
    <x v="72"/>
    <x v="72"/>
    <x v="12"/>
    <x v="0"/>
    <x v="6"/>
    <x v="1"/>
    <x v="0"/>
    <x v="6"/>
    <x v="6"/>
    <x v="0"/>
  </r>
  <r>
    <x v="73"/>
    <x v="73"/>
    <x v="13"/>
    <x v="1"/>
    <x v="7"/>
    <x v="1"/>
    <x v="1"/>
    <x v="7"/>
    <x v="3"/>
    <x v="1"/>
  </r>
  <r>
    <x v="74"/>
    <x v="74"/>
    <x v="14"/>
    <x v="2"/>
    <x v="8"/>
    <x v="2"/>
    <x v="2"/>
    <x v="8"/>
    <x v="7"/>
    <x v="2"/>
  </r>
  <r>
    <x v="75"/>
    <x v="75"/>
    <x v="15"/>
    <x v="3"/>
    <x v="9"/>
    <x v="2"/>
    <x v="3"/>
    <x v="9"/>
    <x v="8"/>
    <x v="3"/>
  </r>
  <r>
    <x v="76"/>
    <x v="76"/>
    <x v="16"/>
    <x v="0"/>
    <x v="10"/>
    <x v="2"/>
    <x v="4"/>
    <x v="10"/>
    <x v="9"/>
    <x v="0"/>
  </r>
  <r>
    <x v="77"/>
    <x v="77"/>
    <x v="17"/>
    <x v="1"/>
    <x v="0"/>
    <x v="0"/>
    <x v="5"/>
    <x v="0"/>
    <x v="10"/>
    <x v="1"/>
  </r>
  <r>
    <x v="78"/>
    <x v="78"/>
    <x v="18"/>
    <x v="2"/>
    <x v="1"/>
    <x v="0"/>
    <x v="0"/>
    <x v="1"/>
    <x v="11"/>
    <x v="2"/>
  </r>
  <r>
    <x v="79"/>
    <x v="79"/>
    <x v="19"/>
    <x v="3"/>
    <x v="2"/>
    <x v="0"/>
    <x v="1"/>
    <x v="2"/>
    <x v="12"/>
    <x v="3"/>
  </r>
  <r>
    <x v="80"/>
    <x v="80"/>
    <x v="0"/>
    <x v="0"/>
    <x v="3"/>
    <x v="0"/>
    <x v="2"/>
    <x v="3"/>
    <x v="13"/>
    <x v="0"/>
  </r>
  <r>
    <x v="81"/>
    <x v="81"/>
    <x v="1"/>
    <x v="1"/>
    <x v="4"/>
    <x v="1"/>
    <x v="3"/>
    <x v="4"/>
    <x v="14"/>
    <x v="1"/>
  </r>
  <r>
    <x v="82"/>
    <x v="82"/>
    <x v="2"/>
    <x v="2"/>
    <x v="5"/>
    <x v="1"/>
    <x v="4"/>
    <x v="5"/>
    <x v="15"/>
    <x v="2"/>
  </r>
  <r>
    <x v="83"/>
    <x v="83"/>
    <x v="3"/>
    <x v="3"/>
    <x v="6"/>
    <x v="1"/>
    <x v="5"/>
    <x v="6"/>
    <x v="16"/>
    <x v="3"/>
  </r>
  <r>
    <x v="84"/>
    <x v="84"/>
    <x v="4"/>
    <x v="0"/>
    <x v="7"/>
    <x v="1"/>
    <x v="0"/>
    <x v="7"/>
    <x v="2"/>
    <x v="0"/>
  </r>
  <r>
    <x v="85"/>
    <x v="85"/>
    <x v="5"/>
    <x v="1"/>
    <x v="8"/>
    <x v="2"/>
    <x v="1"/>
    <x v="8"/>
    <x v="17"/>
    <x v="1"/>
  </r>
  <r>
    <x v="86"/>
    <x v="86"/>
    <x v="6"/>
    <x v="2"/>
    <x v="9"/>
    <x v="2"/>
    <x v="2"/>
    <x v="9"/>
    <x v="18"/>
    <x v="2"/>
  </r>
  <r>
    <x v="87"/>
    <x v="87"/>
    <x v="7"/>
    <x v="3"/>
    <x v="10"/>
    <x v="2"/>
    <x v="3"/>
    <x v="10"/>
    <x v="19"/>
    <x v="3"/>
  </r>
  <r>
    <x v="88"/>
    <x v="88"/>
    <x v="8"/>
    <x v="0"/>
    <x v="0"/>
    <x v="0"/>
    <x v="4"/>
    <x v="0"/>
    <x v="20"/>
    <x v="0"/>
  </r>
  <r>
    <x v="89"/>
    <x v="89"/>
    <x v="9"/>
    <x v="1"/>
    <x v="1"/>
    <x v="0"/>
    <x v="5"/>
    <x v="1"/>
    <x v="21"/>
    <x v="1"/>
  </r>
  <r>
    <x v="90"/>
    <x v="90"/>
    <x v="10"/>
    <x v="2"/>
    <x v="2"/>
    <x v="0"/>
    <x v="0"/>
    <x v="2"/>
    <x v="22"/>
    <x v="2"/>
  </r>
  <r>
    <x v="91"/>
    <x v="91"/>
    <x v="11"/>
    <x v="3"/>
    <x v="3"/>
    <x v="0"/>
    <x v="1"/>
    <x v="3"/>
    <x v="23"/>
    <x v="3"/>
  </r>
  <r>
    <x v="92"/>
    <x v="92"/>
    <x v="12"/>
    <x v="0"/>
    <x v="4"/>
    <x v="1"/>
    <x v="2"/>
    <x v="4"/>
    <x v="24"/>
    <x v="0"/>
  </r>
  <r>
    <x v="93"/>
    <x v="93"/>
    <x v="13"/>
    <x v="1"/>
    <x v="5"/>
    <x v="1"/>
    <x v="3"/>
    <x v="5"/>
    <x v="25"/>
    <x v="1"/>
  </r>
  <r>
    <x v="94"/>
    <x v="94"/>
    <x v="14"/>
    <x v="2"/>
    <x v="6"/>
    <x v="1"/>
    <x v="4"/>
    <x v="6"/>
    <x v="23"/>
    <x v="2"/>
  </r>
  <r>
    <x v="95"/>
    <x v="95"/>
    <x v="15"/>
    <x v="3"/>
    <x v="7"/>
    <x v="1"/>
    <x v="5"/>
    <x v="7"/>
    <x v="22"/>
    <x v="3"/>
  </r>
  <r>
    <x v="96"/>
    <x v="96"/>
    <x v="16"/>
    <x v="0"/>
    <x v="8"/>
    <x v="2"/>
    <x v="0"/>
    <x v="8"/>
    <x v="26"/>
    <x v="0"/>
  </r>
  <r>
    <x v="97"/>
    <x v="97"/>
    <x v="17"/>
    <x v="1"/>
    <x v="9"/>
    <x v="2"/>
    <x v="1"/>
    <x v="9"/>
    <x v="27"/>
    <x v="1"/>
  </r>
  <r>
    <x v="98"/>
    <x v="98"/>
    <x v="18"/>
    <x v="2"/>
    <x v="10"/>
    <x v="2"/>
    <x v="2"/>
    <x v="10"/>
    <x v="28"/>
    <x v="2"/>
  </r>
  <r>
    <x v="99"/>
    <x v="99"/>
    <x v="19"/>
    <x v="3"/>
    <x v="0"/>
    <x v="0"/>
    <x v="3"/>
    <x v="0"/>
    <x v="2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</r>
  <r>
    <x v="1"/>
    <x v="1"/>
  </r>
  <r>
    <x v="2"/>
    <x v="2"/>
  </r>
  <r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</r>
  <r>
    <x v="2"/>
    <x v="2"/>
    <x v="2"/>
    <x v="2"/>
    <x v="2"/>
    <x v="0"/>
    <x v="2"/>
    <x v="2"/>
    <x v="2"/>
    <x v="2"/>
  </r>
  <r>
    <x v="3"/>
    <x v="3"/>
    <x v="3"/>
    <x v="3"/>
    <x v="3"/>
    <x v="0"/>
    <x v="3"/>
    <x v="3"/>
    <x v="3"/>
    <x v="3"/>
  </r>
  <r>
    <x v="4"/>
    <x v="4"/>
    <x v="4"/>
    <x v="0"/>
    <x v="4"/>
    <x v="1"/>
    <x v="4"/>
    <x v="4"/>
    <x v="4"/>
    <x v="0"/>
  </r>
  <r>
    <x v="5"/>
    <x v="5"/>
    <x v="5"/>
    <x v="1"/>
    <x v="5"/>
    <x v="1"/>
    <x v="5"/>
    <x v="5"/>
    <x v="5"/>
    <x v="1"/>
  </r>
  <r>
    <x v="6"/>
    <x v="6"/>
    <x v="6"/>
    <x v="2"/>
    <x v="6"/>
    <x v="1"/>
    <x v="0"/>
    <x v="6"/>
    <x v="6"/>
    <x v="2"/>
  </r>
  <r>
    <x v="7"/>
    <x v="7"/>
    <x v="7"/>
    <x v="3"/>
    <x v="7"/>
    <x v="1"/>
    <x v="1"/>
    <x v="7"/>
    <x v="3"/>
    <x v="3"/>
  </r>
  <r>
    <x v="8"/>
    <x v="8"/>
    <x v="8"/>
    <x v="0"/>
    <x v="8"/>
    <x v="2"/>
    <x v="2"/>
    <x v="8"/>
    <x v="7"/>
    <x v="0"/>
  </r>
  <r>
    <x v="9"/>
    <x v="9"/>
    <x v="9"/>
    <x v="1"/>
    <x v="9"/>
    <x v="2"/>
    <x v="3"/>
    <x v="9"/>
    <x v="8"/>
    <x v="1"/>
  </r>
  <r>
    <x v="10"/>
    <x v="10"/>
    <x v="10"/>
    <x v="2"/>
    <x v="10"/>
    <x v="2"/>
    <x v="4"/>
    <x v="10"/>
    <x v="9"/>
    <x v="2"/>
  </r>
  <r>
    <x v="11"/>
    <x v="11"/>
    <x v="11"/>
    <x v="3"/>
    <x v="0"/>
    <x v="0"/>
    <x v="5"/>
    <x v="0"/>
    <x v="10"/>
    <x v="3"/>
  </r>
  <r>
    <x v="12"/>
    <x v="12"/>
    <x v="12"/>
    <x v="0"/>
    <x v="1"/>
    <x v="0"/>
    <x v="0"/>
    <x v="1"/>
    <x v="11"/>
    <x v="0"/>
  </r>
  <r>
    <x v="13"/>
    <x v="13"/>
    <x v="13"/>
    <x v="1"/>
    <x v="2"/>
    <x v="0"/>
    <x v="1"/>
    <x v="2"/>
    <x v="12"/>
    <x v="1"/>
  </r>
  <r>
    <x v="14"/>
    <x v="14"/>
    <x v="14"/>
    <x v="2"/>
    <x v="3"/>
    <x v="0"/>
    <x v="2"/>
    <x v="3"/>
    <x v="13"/>
    <x v="2"/>
  </r>
  <r>
    <x v="15"/>
    <x v="15"/>
    <x v="15"/>
    <x v="3"/>
    <x v="4"/>
    <x v="1"/>
    <x v="3"/>
    <x v="4"/>
    <x v="14"/>
    <x v="3"/>
  </r>
  <r>
    <x v="16"/>
    <x v="16"/>
    <x v="16"/>
    <x v="0"/>
    <x v="5"/>
    <x v="1"/>
    <x v="4"/>
    <x v="5"/>
    <x v="15"/>
    <x v="0"/>
  </r>
  <r>
    <x v="17"/>
    <x v="17"/>
    <x v="17"/>
    <x v="1"/>
    <x v="6"/>
    <x v="1"/>
    <x v="5"/>
    <x v="6"/>
    <x v="16"/>
    <x v="1"/>
  </r>
  <r>
    <x v="18"/>
    <x v="18"/>
    <x v="18"/>
    <x v="2"/>
    <x v="7"/>
    <x v="1"/>
    <x v="0"/>
    <x v="7"/>
    <x v="2"/>
    <x v="2"/>
  </r>
  <r>
    <x v="19"/>
    <x v="19"/>
    <x v="19"/>
    <x v="3"/>
    <x v="8"/>
    <x v="2"/>
    <x v="1"/>
    <x v="8"/>
    <x v="17"/>
    <x v="3"/>
  </r>
  <r>
    <x v="20"/>
    <x v="20"/>
    <x v="0"/>
    <x v="0"/>
    <x v="9"/>
    <x v="2"/>
    <x v="2"/>
    <x v="9"/>
    <x v="18"/>
    <x v="0"/>
  </r>
  <r>
    <x v="21"/>
    <x v="21"/>
    <x v="1"/>
    <x v="1"/>
    <x v="10"/>
    <x v="2"/>
    <x v="3"/>
    <x v="10"/>
    <x v="19"/>
    <x v="1"/>
  </r>
  <r>
    <x v="22"/>
    <x v="22"/>
    <x v="2"/>
    <x v="2"/>
    <x v="0"/>
    <x v="0"/>
    <x v="4"/>
    <x v="0"/>
    <x v="20"/>
    <x v="2"/>
  </r>
  <r>
    <x v="23"/>
    <x v="23"/>
    <x v="3"/>
    <x v="3"/>
    <x v="1"/>
    <x v="0"/>
    <x v="5"/>
    <x v="1"/>
    <x v="21"/>
    <x v="3"/>
  </r>
  <r>
    <x v="24"/>
    <x v="24"/>
    <x v="4"/>
    <x v="0"/>
    <x v="2"/>
    <x v="0"/>
    <x v="0"/>
    <x v="2"/>
    <x v="22"/>
    <x v="0"/>
  </r>
  <r>
    <x v="25"/>
    <x v="25"/>
    <x v="5"/>
    <x v="1"/>
    <x v="3"/>
    <x v="0"/>
    <x v="1"/>
    <x v="3"/>
    <x v="23"/>
    <x v="1"/>
  </r>
  <r>
    <x v="26"/>
    <x v="26"/>
    <x v="6"/>
    <x v="2"/>
    <x v="4"/>
    <x v="1"/>
    <x v="2"/>
    <x v="4"/>
    <x v="24"/>
    <x v="2"/>
  </r>
  <r>
    <x v="27"/>
    <x v="27"/>
    <x v="7"/>
    <x v="3"/>
    <x v="5"/>
    <x v="1"/>
    <x v="3"/>
    <x v="5"/>
    <x v="25"/>
    <x v="3"/>
  </r>
  <r>
    <x v="28"/>
    <x v="28"/>
    <x v="8"/>
    <x v="0"/>
    <x v="6"/>
    <x v="1"/>
    <x v="4"/>
    <x v="6"/>
    <x v="23"/>
    <x v="0"/>
  </r>
  <r>
    <x v="29"/>
    <x v="29"/>
    <x v="9"/>
    <x v="1"/>
    <x v="7"/>
    <x v="1"/>
    <x v="5"/>
    <x v="7"/>
    <x v="22"/>
    <x v="1"/>
  </r>
  <r>
    <x v="30"/>
    <x v="30"/>
    <x v="10"/>
    <x v="2"/>
    <x v="8"/>
    <x v="2"/>
    <x v="0"/>
    <x v="8"/>
    <x v="26"/>
    <x v="2"/>
  </r>
  <r>
    <x v="31"/>
    <x v="31"/>
    <x v="11"/>
    <x v="3"/>
    <x v="9"/>
    <x v="2"/>
    <x v="1"/>
    <x v="9"/>
    <x v="27"/>
    <x v="3"/>
  </r>
  <r>
    <x v="32"/>
    <x v="32"/>
    <x v="12"/>
    <x v="0"/>
    <x v="10"/>
    <x v="2"/>
    <x v="2"/>
    <x v="10"/>
    <x v="28"/>
    <x v="0"/>
  </r>
  <r>
    <x v="33"/>
    <x v="33"/>
    <x v="13"/>
    <x v="1"/>
    <x v="0"/>
    <x v="0"/>
    <x v="3"/>
    <x v="0"/>
    <x v="29"/>
    <x v="1"/>
  </r>
  <r>
    <x v="34"/>
    <x v="34"/>
    <x v="14"/>
    <x v="2"/>
    <x v="1"/>
    <x v="0"/>
    <x v="4"/>
    <x v="1"/>
    <x v="30"/>
    <x v="2"/>
  </r>
  <r>
    <x v="35"/>
    <x v="35"/>
    <x v="15"/>
    <x v="3"/>
    <x v="2"/>
    <x v="0"/>
    <x v="5"/>
    <x v="2"/>
    <x v="9"/>
    <x v="3"/>
  </r>
  <r>
    <x v="36"/>
    <x v="36"/>
    <x v="16"/>
    <x v="0"/>
    <x v="3"/>
    <x v="0"/>
    <x v="0"/>
    <x v="3"/>
    <x v="31"/>
    <x v="0"/>
  </r>
  <r>
    <x v="37"/>
    <x v="37"/>
    <x v="17"/>
    <x v="1"/>
    <x v="4"/>
    <x v="1"/>
    <x v="1"/>
    <x v="4"/>
    <x v="32"/>
    <x v="1"/>
  </r>
  <r>
    <x v="38"/>
    <x v="38"/>
    <x v="18"/>
    <x v="2"/>
    <x v="5"/>
    <x v="1"/>
    <x v="2"/>
    <x v="5"/>
    <x v="33"/>
    <x v="2"/>
  </r>
  <r>
    <x v="39"/>
    <x v="39"/>
    <x v="19"/>
    <x v="3"/>
    <x v="6"/>
    <x v="1"/>
    <x v="3"/>
    <x v="6"/>
    <x v="12"/>
    <x v="3"/>
  </r>
  <r>
    <x v="40"/>
    <x v="40"/>
    <x v="0"/>
    <x v="0"/>
    <x v="7"/>
    <x v="1"/>
    <x v="4"/>
    <x v="7"/>
    <x v="34"/>
    <x v="0"/>
  </r>
  <r>
    <x v="41"/>
    <x v="41"/>
    <x v="1"/>
    <x v="1"/>
    <x v="8"/>
    <x v="2"/>
    <x v="5"/>
    <x v="8"/>
    <x v="35"/>
    <x v="1"/>
  </r>
  <r>
    <x v="42"/>
    <x v="42"/>
    <x v="2"/>
    <x v="2"/>
    <x v="9"/>
    <x v="2"/>
    <x v="0"/>
    <x v="9"/>
    <x v="17"/>
    <x v="2"/>
  </r>
  <r>
    <x v="43"/>
    <x v="43"/>
    <x v="3"/>
    <x v="3"/>
    <x v="10"/>
    <x v="2"/>
    <x v="1"/>
    <x v="10"/>
    <x v="36"/>
    <x v="3"/>
  </r>
  <r>
    <x v="44"/>
    <x v="44"/>
    <x v="4"/>
    <x v="0"/>
    <x v="0"/>
    <x v="0"/>
    <x v="2"/>
    <x v="0"/>
    <x v="37"/>
    <x v="0"/>
  </r>
  <r>
    <x v="45"/>
    <x v="45"/>
    <x v="5"/>
    <x v="1"/>
    <x v="1"/>
    <x v="0"/>
    <x v="3"/>
    <x v="1"/>
    <x v="38"/>
    <x v="1"/>
  </r>
  <r>
    <x v="46"/>
    <x v="46"/>
    <x v="6"/>
    <x v="2"/>
    <x v="2"/>
    <x v="0"/>
    <x v="4"/>
    <x v="2"/>
    <x v="3"/>
    <x v="2"/>
  </r>
  <r>
    <x v="47"/>
    <x v="47"/>
    <x v="7"/>
    <x v="3"/>
    <x v="3"/>
    <x v="0"/>
    <x v="5"/>
    <x v="3"/>
    <x v="6"/>
    <x v="3"/>
  </r>
  <r>
    <x v="48"/>
    <x v="48"/>
    <x v="8"/>
    <x v="0"/>
    <x v="4"/>
    <x v="1"/>
    <x v="0"/>
    <x v="4"/>
    <x v="39"/>
    <x v="0"/>
  </r>
  <r>
    <x v="49"/>
    <x v="49"/>
    <x v="9"/>
    <x v="1"/>
    <x v="5"/>
    <x v="1"/>
    <x v="1"/>
    <x v="5"/>
    <x v="40"/>
    <x v="1"/>
  </r>
  <r>
    <x v="50"/>
    <x v="50"/>
    <x v="10"/>
    <x v="2"/>
    <x v="6"/>
    <x v="1"/>
    <x v="2"/>
    <x v="6"/>
    <x v="31"/>
    <x v="2"/>
  </r>
  <r>
    <x v="51"/>
    <x v="51"/>
    <x v="11"/>
    <x v="3"/>
    <x v="7"/>
    <x v="1"/>
    <x v="3"/>
    <x v="7"/>
    <x v="30"/>
    <x v="3"/>
  </r>
  <r>
    <x v="52"/>
    <x v="52"/>
    <x v="12"/>
    <x v="0"/>
    <x v="8"/>
    <x v="2"/>
    <x v="4"/>
    <x v="8"/>
    <x v="18"/>
    <x v="0"/>
  </r>
  <r>
    <x v="53"/>
    <x v="53"/>
    <x v="13"/>
    <x v="1"/>
    <x v="9"/>
    <x v="2"/>
    <x v="5"/>
    <x v="9"/>
    <x v="41"/>
    <x v="1"/>
  </r>
  <r>
    <x v="54"/>
    <x v="54"/>
    <x v="14"/>
    <x v="2"/>
    <x v="10"/>
    <x v="2"/>
    <x v="0"/>
    <x v="10"/>
    <x v="42"/>
    <x v="2"/>
  </r>
  <r>
    <x v="55"/>
    <x v="55"/>
    <x v="15"/>
    <x v="3"/>
    <x v="0"/>
    <x v="0"/>
    <x v="1"/>
    <x v="0"/>
    <x v="43"/>
    <x v="3"/>
  </r>
  <r>
    <x v="56"/>
    <x v="56"/>
    <x v="16"/>
    <x v="0"/>
    <x v="1"/>
    <x v="0"/>
    <x v="2"/>
    <x v="1"/>
    <x v="44"/>
    <x v="0"/>
  </r>
  <r>
    <x v="57"/>
    <x v="57"/>
    <x v="17"/>
    <x v="1"/>
    <x v="2"/>
    <x v="0"/>
    <x v="3"/>
    <x v="2"/>
    <x v="1"/>
    <x v="1"/>
  </r>
  <r>
    <x v="58"/>
    <x v="58"/>
    <x v="18"/>
    <x v="2"/>
    <x v="3"/>
    <x v="0"/>
    <x v="4"/>
    <x v="3"/>
    <x v="45"/>
    <x v="2"/>
  </r>
  <r>
    <x v="59"/>
    <x v="59"/>
    <x v="19"/>
    <x v="3"/>
    <x v="4"/>
    <x v="1"/>
    <x v="5"/>
    <x v="4"/>
    <x v="46"/>
    <x v="3"/>
  </r>
  <r>
    <x v="60"/>
    <x v="60"/>
    <x v="0"/>
    <x v="0"/>
    <x v="5"/>
    <x v="1"/>
    <x v="0"/>
    <x v="5"/>
    <x v="47"/>
    <x v="0"/>
  </r>
  <r>
    <x v="61"/>
    <x v="61"/>
    <x v="1"/>
    <x v="1"/>
    <x v="6"/>
    <x v="1"/>
    <x v="1"/>
    <x v="6"/>
    <x v="48"/>
    <x v="1"/>
  </r>
  <r>
    <x v="62"/>
    <x v="62"/>
    <x v="2"/>
    <x v="2"/>
    <x v="7"/>
    <x v="1"/>
    <x v="2"/>
    <x v="7"/>
    <x v="49"/>
    <x v="2"/>
  </r>
  <r>
    <x v="63"/>
    <x v="63"/>
    <x v="3"/>
    <x v="3"/>
    <x v="8"/>
    <x v="2"/>
    <x v="3"/>
    <x v="8"/>
    <x v="50"/>
    <x v="3"/>
  </r>
  <r>
    <x v="64"/>
    <x v="64"/>
    <x v="4"/>
    <x v="0"/>
    <x v="9"/>
    <x v="2"/>
    <x v="4"/>
    <x v="9"/>
    <x v="51"/>
    <x v="0"/>
  </r>
  <r>
    <x v="65"/>
    <x v="65"/>
    <x v="5"/>
    <x v="1"/>
    <x v="10"/>
    <x v="2"/>
    <x v="5"/>
    <x v="10"/>
    <x v="52"/>
    <x v="1"/>
  </r>
  <r>
    <x v="66"/>
    <x v="66"/>
    <x v="6"/>
    <x v="2"/>
    <x v="0"/>
    <x v="0"/>
    <x v="0"/>
    <x v="0"/>
    <x v="0"/>
    <x v="2"/>
  </r>
  <r>
    <x v="67"/>
    <x v="67"/>
    <x v="7"/>
    <x v="3"/>
    <x v="1"/>
    <x v="0"/>
    <x v="1"/>
    <x v="1"/>
    <x v="1"/>
    <x v="3"/>
  </r>
  <r>
    <x v="68"/>
    <x v="68"/>
    <x v="8"/>
    <x v="0"/>
    <x v="2"/>
    <x v="0"/>
    <x v="2"/>
    <x v="2"/>
    <x v="2"/>
    <x v="0"/>
  </r>
  <r>
    <x v="69"/>
    <x v="69"/>
    <x v="9"/>
    <x v="1"/>
    <x v="3"/>
    <x v="0"/>
    <x v="3"/>
    <x v="3"/>
    <x v="3"/>
    <x v="1"/>
  </r>
  <r>
    <x v="70"/>
    <x v="70"/>
    <x v="10"/>
    <x v="2"/>
    <x v="4"/>
    <x v="1"/>
    <x v="4"/>
    <x v="4"/>
    <x v="4"/>
    <x v="2"/>
  </r>
  <r>
    <x v="71"/>
    <x v="71"/>
    <x v="11"/>
    <x v="3"/>
    <x v="5"/>
    <x v="1"/>
    <x v="5"/>
    <x v="5"/>
    <x v="5"/>
    <x v="3"/>
  </r>
  <r>
    <x v="72"/>
    <x v="72"/>
    <x v="12"/>
    <x v="0"/>
    <x v="6"/>
    <x v="1"/>
    <x v="0"/>
    <x v="6"/>
    <x v="6"/>
    <x v="0"/>
  </r>
  <r>
    <x v="73"/>
    <x v="73"/>
    <x v="13"/>
    <x v="1"/>
    <x v="7"/>
    <x v="1"/>
    <x v="1"/>
    <x v="7"/>
    <x v="3"/>
    <x v="1"/>
  </r>
  <r>
    <x v="74"/>
    <x v="74"/>
    <x v="14"/>
    <x v="2"/>
    <x v="8"/>
    <x v="2"/>
    <x v="2"/>
    <x v="8"/>
    <x v="7"/>
    <x v="2"/>
  </r>
  <r>
    <x v="75"/>
    <x v="75"/>
    <x v="15"/>
    <x v="3"/>
    <x v="9"/>
    <x v="2"/>
    <x v="3"/>
    <x v="9"/>
    <x v="8"/>
    <x v="3"/>
  </r>
  <r>
    <x v="76"/>
    <x v="76"/>
    <x v="16"/>
    <x v="0"/>
    <x v="10"/>
    <x v="2"/>
    <x v="4"/>
    <x v="10"/>
    <x v="9"/>
    <x v="0"/>
  </r>
  <r>
    <x v="77"/>
    <x v="77"/>
    <x v="17"/>
    <x v="1"/>
    <x v="0"/>
    <x v="0"/>
    <x v="5"/>
    <x v="0"/>
    <x v="10"/>
    <x v="1"/>
  </r>
  <r>
    <x v="78"/>
    <x v="78"/>
    <x v="18"/>
    <x v="2"/>
    <x v="1"/>
    <x v="0"/>
    <x v="0"/>
    <x v="1"/>
    <x v="11"/>
    <x v="2"/>
  </r>
  <r>
    <x v="79"/>
    <x v="79"/>
    <x v="19"/>
    <x v="3"/>
    <x v="2"/>
    <x v="0"/>
    <x v="1"/>
    <x v="2"/>
    <x v="12"/>
    <x v="3"/>
  </r>
  <r>
    <x v="80"/>
    <x v="80"/>
    <x v="0"/>
    <x v="0"/>
    <x v="3"/>
    <x v="0"/>
    <x v="2"/>
    <x v="3"/>
    <x v="13"/>
    <x v="0"/>
  </r>
  <r>
    <x v="81"/>
    <x v="81"/>
    <x v="1"/>
    <x v="1"/>
    <x v="4"/>
    <x v="1"/>
    <x v="3"/>
    <x v="4"/>
    <x v="14"/>
    <x v="1"/>
  </r>
  <r>
    <x v="82"/>
    <x v="82"/>
    <x v="2"/>
    <x v="2"/>
    <x v="5"/>
    <x v="1"/>
    <x v="4"/>
    <x v="5"/>
    <x v="15"/>
    <x v="2"/>
  </r>
  <r>
    <x v="83"/>
    <x v="83"/>
    <x v="3"/>
    <x v="3"/>
    <x v="6"/>
    <x v="1"/>
    <x v="5"/>
    <x v="6"/>
    <x v="16"/>
    <x v="3"/>
  </r>
  <r>
    <x v="84"/>
    <x v="84"/>
    <x v="4"/>
    <x v="0"/>
    <x v="7"/>
    <x v="1"/>
    <x v="0"/>
    <x v="7"/>
    <x v="2"/>
    <x v="0"/>
  </r>
  <r>
    <x v="85"/>
    <x v="85"/>
    <x v="5"/>
    <x v="1"/>
    <x v="8"/>
    <x v="2"/>
    <x v="1"/>
    <x v="8"/>
    <x v="17"/>
    <x v="1"/>
  </r>
  <r>
    <x v="86"/>
    <x v="86"/>
    <x v="6"/>
    <x v="2"/>
    <x v="9"/>
    <x v="2"/>
    <x v="2"/>
    <x v="9"/>
    <x v="18"/>
    <x v="2"/>
  </r>
  <r>
    <x v="87"/>
    <x v="87"/>
    <x v="7"/>
    <x v="3"/>
    <x v="10"/>
    <x v="2"/>
    <x v="3"/>
    <x v="10"/>
    <x v="19"/>
    <x v="3"/>
  </r>
  <r>
    <x v="88"/>
    <x v="88"/>
    <x v="8"/>
    <x v="0"/>
    <x v="0"/>
    <x v="0"/>
    <x v="4"/>
    <x v="0"/>
    <x v="20"/>
    <x v="0"/>
  </r>
  <r>
    <x v="89"/>
    <x v="89"/>
    <x v="9"/>
    <x v="1"/>
    <x v="1"/>
    <x v="0"/>
    <x v="5"/>
    <x v="1"/>
    <x v="21"/>
    <x v="1"/>
  </r>
  <r>
    <x v="90"/>
    <x v="90"/>
    <x v="10"/>
    <x v="2"/>
    <x v="2"/>
    <x v="0"/>
    <x v="0"/>
    <x v="2"/>
    <x v="22"/>
    <x v="2"/>
  </r>
  <r>
    <x v="91"/>
    <x v="91"/>
    <x v="11"/>
    <x v="3"/>
    <x v="3"/>
    <x v="0"/>
    <x v="1"/>
    <x v="3"/>
    <x v="23"/>
    <x v="3"/>
  </r>
  <r>
    <x v="92"/>
    <x v="92"/>
    <x v="12"/>
    <x v="0"/>
    <x v="4"/>
    <x v="1"/>
    <x v="2"/>
    <x v="4"/>
    <x v="24"/>
    <x v="0"/>
  </r>
  <r>
    <x v="93"/>
    <x v="93"/>
    <x v="13"/>
    <x v="1"/>
    <x v="5"/>
    <x v="1"/>
    <x v="3"/>
    <x v="5"/>
    <x v="25"/>
    <x v="1"/>
  </r>
  <r>
    <x v="94"/>
    <x v="94"/>
    <x v="14"/>
    <x v="2"/>
    <x v="6"/>
    <x v="1"/>
    <x v="4"/>
    <x v="6"/>
    <x v="23"/>
    <x v="2"/>
  </r>
  <r>
    <x v="95"/>
    <x v="95"/>
    <x v="15"/>
    <x v="3"/>
    <x v="7"/>
    <x v="1"/>
    <x v="5"/>
    <x v="7"/>
    <x v="22"/>
    <x v="3"/>
  </r>
  <r>
    <x v="96"/>
    <x v="96"/>
    <x v="16"/>
    <x v="0"/>
    <x v="8"/>
    <x v="2"/>
    <x v="0"/>
    <x v="8"/>
    <x v="26"/>
    <x v="0"/>
  </r>
  <r>
    <x v="97"/>
    <x v="97"/>
    <x v="17"/>
    <x v="1"/>
    <x v="9"/>
    <x v="2"/>
    <x v="1"/>
    <x v="9"/>
    <x v="27"/>
    <x v="1"/>
  </r>
  <r>
    <x v="98"/>
    <x v="98"/>
    <x v="18"/>
    <x v="2"/>
    <x v="10"/>
    <x v="2"/>
    <x v="2"/>
    <x v="10"/>
    <x v="28"/>
    <x v="2"/>
  </r>
  <r>
    <x v="99"/>
    <x v="99"/>
    <x v="19"/>
    <x v="3"/>
    <x v="0"/>
    <x v="0"/>
    <x v="3"/>
    <x v="0"/>
    <x v="29"/>
    <x v="3"/>
  </r>
  <r>
    <x v="100"/>
    <x v="100"/>
    <x v="20"/>
    <x v="4"/>
    <x v="11"/>
    <x v="3"/>
    <x v="6"/>
    <x v="11"/>
    <x v="5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1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54">
        <item x="35"/>
        <item x="41"/>
        <item x="26"/>
        <item x="17"/>
        <item x="52"/>
        <item x="7"/>
        <item x="46"/>
        <item x="27"/>
        <item x="50"/>
        <item x="18"/>
        <item x="42"/>
        <item x="8"/>
        <item x="39"/>
        <item x="51"/>
        <item x="36"/>
        <item x="5"/>
        <item x="16"/>
        <item x="28"/>
        <item x="32"/>
        <item x="19"/>
        <item x="24"/>
        <item x="9"/>
        <item x="47"/>
        <item x="14"/>
        <item x="6"/>
        <item x="4"/>
        <item x="40"/>
        <item x="21"/>
        <item x="48"/>
        <item x="22"/>
        <item x="33"/>
        <item x="31"/>
        <item x="25"/>
        <item x="12"/>
        <item x="15"/>
        <item x="11"/>
        <item x="23"/>
        <item x="10"/>
        <item x="2"/>
        <item x="13"/>
        <item x="1"/>
        <item x="3"/>
        <item x="44"/>
        <item x="45"/>
        <item x="0"/>
        <item x="49"/>
        <item x="38"/>
        <item x="30"/>
        <item x="43"/>
        <item x="34"/>
        <item x="37"/>
        <item x="29"/>
        <item x="20"/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5" firstHeaderRow="1" firstDataRow="1" firstDataCol="1"/>
  <pivotFields count="10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dataField="1" compact="0" showAll="0">
      <items count="54">
        <item x="35"/>
        <item x="41"/>
        <item x="26"/>
        <item x="17"/>
        <item x="52"/>
        <item x="7"/>
        <item x="46"/>
        <item x="27"/>
        <item x="50"/>
        <item x="18"/>
        <item x="42"/>
        <item x="8"/>
        <item x="39"/>
        <item x="51"/>
        <item x="36"/>
        <item x="5"/>
        <item x="16"/>
        <item x="28"/>
        <item x="32"/>
        <item x="19"/>
        <item x="24"/>
        <item x="9"/>
        <item x="47"/>
        <item x="14"/>
        <item x="6"/>
        <item x="4"/>
        <item x="40"/>
        <item x="21"/>
        <item x="48"/>
        <item x="22"/>
        <item x="33"/>
        <item x="31"/>
        <item x="25"/>
        <item x="12"/>
        <item x="15"/>
        <item x="11"/>
        <item x="23"/>
        <item x="10"/>
        <item x="2"/>
        <item x="13"/>
        <item x="1"/>
        <item x="3"/>
        <item x="44"/>
        <item x="45"/>
        <item x="0"/>
        <item x="49"/>
        <item x="38"/>
        <item x="30"/>
        <item x="43"/>
        <item x="34"/>
        <item x="37"/>
        <item x="29"/>
        <item x="20"/>
        <item t="default"/>
      </items>
    </pivotField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7:J12" firstHeaderRow="1" firstDataRow="1" firstDataCol="1"/>
  <pivotFields count="2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multipleItemSelectionAllowed="1" showAll="0">
      <items count="6">
        <item x="0"/>
        <item x="1"/>
        <item x="3"/>
        <item x="2"/>
        <item h="1"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formats count="1">
    <format dxfId="0">
      <pivotArea dataOnly="0" labelOnly="1" fieldPosition="0">
        <references count="1">
          <reference field="9" count="1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J101">
  <autoFilter xmlns:etc="http://www.wps.cn/officeDocument/2017/etCustomData" ref="A1:J101" etc:filterBottomFollowUsedRange="0"/>
  <tableColumns count="10">
    <tableColumn id="1" name="Order ID" dataDxfId="1" totalsRowLabel="Total"/>
    <tableColumn id="2" name="Date" dataDxfId="2"/>
    <tableColumn id="3" name="Customer" dataDxfId="3"/>
    <tableColumn id="4" name="Region" dataDxfId="4"/>
    <tableColumn id="5" name="Product" dataDxfId="5"/>
    <tableColumn id="6" name="Category" dataDxfId="6"/>
    <tableColumn id="7" name="Quantity" dataDxfId="7"/>
    <tableColumn id="8" name="Unit Price" dataDxfId="8"/>
    <tableColumn id="9" name="Sales" dataDxfId="9">
      <calculatedColumnFormula>G2*H2</calculatedColumnFormula>
    </tableColumn>
    <tableColumn id="10" name="Salesperson" dataDxfId="10" totalsRowFunction="coun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zoomScale="90" zoomScaleNormal="90" workbookViewId="0">
      <selection activeCell="J1" sqref="J1"/>
    </sheetView>
  </sheetViews>
  <sheetFormatPr defaultColWidth="8.88888888888889" defaultRowHeight="14.4"/>
  <cols>
    <col min="2" max="2" width="12.5555555555556" customWidth="1"/>
    <col min="6" max="6" width="11.1111111111111" customWidth="1"/>
  </cols>
  <sheetData>
    <row r="1" s="13" customFormat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>
        <v>2</v>
      </c>
      <c r="H2" s="15">
        <v>55000</v>
      </c>
      <c r="I2" s="15">
        <f t="shared" ref="I2:I65" si="0">G2*H2</f>
        <v>110000</v>
      </c>
      <c r="J2" s="15" t="s">
        <v>16</v>
      </c>
    </row>
    <row r="3" spans="1:10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15</v>
      </c>
      <c r="G3" s="15">
        <v>3</v>
      </c>
      <c r="H3" s="15">
        <v>25000</v>
      </c>
      <c r="I3" s="15">
        <f t="shared" si="0"/>
        <v>75000</v>
      </c>
      <c r="J3" s="15" t="s">
        <v>22</v>
      </c>
    </row>
    <row r="4" spans="1:10">
      <c r="A4" s="15" t="s">
        <v>23</v>
      </c>
      <c r="B4" s="15" t="s">
        <v>24</v>
      </c>
      <c r="C4" s="15" t="s">
        <v>25</v>
      </c>
      <c r="D4" s="15" t="s">
        <v>26</v>
      </c>
      <c r="E4" s="15" t="s">
        <v>27</v>
      </c>
      <c r="F4" s="15" t="s">
        <v>15</v>
      </c>
      <c r="G4" s="15">
        <v>4</v>
      </c>
      <c r="H4" s="15">
        <v>15000</v>
      </c>
      <c r="I4" s="15">
        <f t="shared" si="0"/>
        <v>60000</v>
      </c>
      <c r="J4" s="15" t="s">
        <v>28</v>
      </c>
    </row>
    <row r="5" spans="1:10">
      <c r="A5" s="15" t="s">
        <v>29</v>
      </c>
      <c r="B5" s="15" t="s">
        <v>30</v>
      </c>
      <c r="C5" s="15" t="s">
        <v>31</v>
      </c>
      <c r="D5" s="15" t="s">
        <v>32</v>
      </c>
      <c r="E5" s="15" t="s">
        <v>33</v>
      </c>
      <c r="F5" s="15" t="s">
        <v>15</v>
      </c>
      <c r="G5" s="15">
        <v>5</v>
      </c>
      <c r="H5" s="15">
        <v>18000</v>
      </c>
      <c r="I5" s="15">
        <f t="shared" si="0"/>
        <v>90000</v>
      </c>
      <c r="J5" s="15" t="s">
        <v>34</v>
      </c>
    </row>
    <row r="6" spans="1:10">
      <c r="A6" s="15" t="s">
        <v>35</v>
      </c>
      <c r="B6" s="15" t="s">
        <v>36</v>
      </c>
      <c r="C6" s="15" t="s">
        <v>37</v>
      </c>
      <c r="D6" s="15" t="s">
        <v>13</v>
      </c>
      <c r="E6" s="15" t="s">
        <v>38</v>
      </c>
      <c r="F6" s="15" t="s">
        <v>39</v>
      </c>
      <c r="G6" s="15">
        <v>6</v>
      </c>
      <c r="H6" s="15">
        <v>3500</v>
      </c>
      <c r="I6" s="15">
        <f t="shared" si="0"/>
        <v>21000</v>
      </c>
      <c r="J6" s="15" t="s">
        <v>16</v>
      </c>
    </row>
    <row r="7" spans="1:10">
      <c r="A7" s="15" t="s">
        <v>40</v>
      </c>
      <c r="B7" s="15" t="s">
        <v>41</v>
      </c>
      <c r="C7" s="15" t="s">
        <v>42</v>
      </c>
      <c r="D7" s="15" t="s">
        <v>20</v>
      </c>
      <c r="E7" s="15" t="s">
        <v>43</v>
      </c>
      <c r="F7" s="15" t="s">
        <v>39</v>
      </c>
      <c r="G7" s="15">
        <v>1</v>
      </c>
      <c r="H7" s="15">
        <v>8000</v>
      </c>
      <c r="I7" s="15">
        <f t="shared" si="0"/>
        <v>8000</v>
      </c>
      <c r="J7" s="15" t="s">
        <v>22</v>
      </c>
    </row>
    <row r="8" spans="1:10">
      <c r="A8" s="15" t="s">
        <v>44</v>
      </c>
      <c r="B8" s="15" t="s">
        <v>45</v>
      </c>
      <c r="C8" s="15" t="s">
        <v>46</v>
      </c>
      <c r="D8" s="15" t="s">
        <v>26</v>
      </c>
      <c r="E8" s="15" t="s">
        <v>47</v>
      </c>
      <c r="F8" s="15" t="s">
        <v>39</v>
      </c>
      <c r="G8" s="15">
        <v>2</v>
      </c>
      <c r="H8" s="15">
        <v>9000</v>
      </c>
      <c r="I8" s="15">
        <f t="shared" si="0"/>
        <v>18000</v>
      </c>
      <c r="J8" s="15" t="s">
        <v>28</v>
      </c>
    </row>
    <row r="9" spans="1:10">
      <c r="A9" s="15" t="s">
        <v>48</v>
      </c>
      <c r="B9" s="15" t="s">
        <v>49</v>
      </c>
      <c r="C9" s="15" t="s">
        <v>50</v>
      </c>
      <c r="D9" s="15" t="s">
        <v>32</v>
      </c>
      <c r="E9" s="15" t="s">
        <v>51</v>
      </c>
      <c r="F9" s="15" t="s">
        <v>39</v>
      </c>
      <c r="G9" s="15">
        <v>3</v>
      </c>
      <c r="H9" s="15">
        <v>30000</v>
      </c>
      <c r="I9" s="15">
        <f t="shared" si="0"/>
        <v>90000</v>
      </c>
      <c r="J9" s="15" t="s">
        <v>34</v>
      </c>
    </row>
    <row r="10" spans="1:10">
      <c r="A10" s="15" t="s">
        <v>52</v>
      </c>
      <c r="B10" s="15" t="s">
        <v>53</v>
      </c>
      <c r="C10" s="15" t="s">
        <v>54</v>
      </c>
      <c r="D10" s="15" t="s">
        <v>13</v>
      </c>
      <c r="E10" s="15" t="s">
        <v>55</v>
      </c>
      <c r="F10" s="15" t="s">
        <v>56</v>
      </c>
      <c r="G10" s="15">
        <v>4</v>
      </c>
      <c r="H10" s="15">
        <v>800</v>
      </c>
      <c r="I10" s="15">
        <f t="shared" si="0"/>
        <v>3200</v>
      </c>
      <c r="J10" s="15" t="s">
        <v>16</v>
      </c>
    </row>
    <row r="11" spans="1:10">
      <c r="A11" s="15" t="s">
        <v>57</v>
      </c>
      <c r="B11" s="15" t="s">
        <v>58</v>
      </c>
      <c r="C11" s="15" t="s">
        <v>59</v>
      </c>
      <c r="D11" s="15" t="s">
        <v>20</v>
      </c>
      <c r="E11" s="15" t="s">
        <v>60</v>
      </c>
      <c r="F11" s="15" t="s">
        <v>56</v>
      </c>
      <c r="G11" s="15">
        <v>5</v>
      </c>
      <c r="H11" s="15">
        <v>1200</v>
      </c>
      <c r="I11" s="15">
        <f t="shared" si="0"/>
        <v>6000</v>
      </c>
      <c r="J11" s="15" t="s">
        <v>22</v>
      </c>
    </row>
    <row r="12" spans="1:10">
      <c r="A12" s="15" t="s">
        <v>61</v>
      </c>
      <c r="B12" s="15" t="s">
        <v>62</v>
      </c>
      <c r="C12" s="15" t="s">
        <v>63</v>
      </c>
      <c r="D12" s="15" t="s">
        <v>26</v>
      </c>
      <c r="E12" s="15" t="s">
        <v>64</v>
      </c>
      <c r="F12" s="15" t="s">
        <v>56</v>
      </c>
      <c r="G12" s="15">
        <v>6</v>
      </c>
      <c r="H12" s="15">
        <v>2500</v>
      </c>
      <c r="I12" s="15">
        <f t="shared" si="0"/>
        <v>15000</v>
      </c>
      <c r="J12" s="15" t="s">
        <v>28</v>
      </c>
    </row>
    <row r="13" spans="1:10">
      <c r="A13" s="15" t="s">
        <v>65</v>
      </c>
      <c r="B13" s="15" t="s">
        <v>66</v>
      </c>
      <c r="C13" s="15" t="s">
        <v>67</v>
      </c>
      <c r="D13" s="15" t="s">
        <v>32</v>
      </c>
      <c r="E13" s="15" t="s">
        <v>14</v>
      </c>
      <c r="F13" s="15" t="s">
        <v>15</v>
      </c>
      <c r="G13" s="15">
        <v>1</v>
      </c>
      <c r="H13" s="15">
        <v>55000</v>
      </c>
      <c r="I13" s="15">
        <f t="shared" si="0"/>
        <v>55000</v>
      </c>
      <c r="J13" s="15" t="s">
        <v>34</v>
      </c>
    </row>
    <row r="14" spans="1:10">
      <c r="A14" s="15" t="s">
        <v>68</v>
      </c>
      <c r="B14" s="15" t="s">
        <v>69</v>
      </c>
      <c r="C14" s="15" t="s">
        <v>70</v>
      </c>
      <c r="D14" s="15" t="s">
        <v>13</v>
      </c>
      <c r="E14" s="15" t="s">
        <v>21</v>
      </c>
      <c r="F14" s="15" t="s">
        <v>15</v>
      </c>
      <c r="G14" s="15">
        <v>2</v>
      </c>
      <c r="H14" s="15">
        <v>25000</v>
      </c>
      <c r="I14" s="15">
        <f t="shared" si="0"/>
        <v>50000</v>
      </c>
      <c r="J14" s="15" t="s">
        <v>16</v>
      </c>
    </row>
    <row r="15" spans="1:10">
      <c r="A15" s="15" t="s">
        <v>71</v>
      </c>
      <c r="B15" s="15" t="s">
        <v>72</v>
      </c>
      <c r="C15" s="15" t="s">
        <v>73</v>
      </c>
      <c r="D15" s="15" t="s">
        <v>20</v>
      </c>
      <c r="E15" s="15" t="s">
        <v>27</v>
      </c>
      <c r="F15" s="15" t="s">
        <v>15</v>
      </c>
      <c r="G15" s="15">
        <v>3</v>
      </c>
      <c r="H15" s="15">
        <v>15000</v>
      </c>
      <c r="I15" s="15">
        <f t="shared" si="0"/>
        <v>45000</v>
      </c>
      <c r="J15" s="15" t="s">
        <v>22</v>
      </c>
    </row>
    <row r="16" spans="1:10">
      <c r="A16" s="15" t="s">
        <v>74</v>
      </c>
      <c r="B16" s="15" t="s">
        <v>75</v>
      </c>
      <c r="C16" s="15" t="s">
        <v>76</v>
      </c>
      <c r="D16" s="15" t="s">
        <v>26</v>
      </c>
      <c r="E16" s="15" t="s">
        <v>33</v>
      </c>
      <c r="F16" s="15" t="s">
        <v>15</v>
      </c>
      <c r="G16" s="15">
        <v>4</v>
      </c>
      <c r="H16" s="15">
        <v>18000</v>
      </c>
      <c r="I16" s="15">
        <f t="shared" si="0"/>
        <v>72000</v>
      </c>
      <c r="J16" s="15" t="s">
        <v>28</v>
      </c>
    </row>
    <row r="17" spans="1:10">
      <c r="A17" s="15" t="s">
        <v>77</v>
      </c>
      <c r="B17" s="15" t="s">
        <v>78</v>
      </c>
      <c r="C17" s="15" t="s">
        <v>79</v>
      </c>
      <c r="D17" s="15" t="s">
        <v>32</v>
      </c>
      <c r="E17" s="15" t="s">
        <v>38</v>
      </c>
      <c r="F17" s="15" t="s">
        <v>39</v>
      </c>
      <c r="G17" s="15">
        <v>5</v>
      </c>
      <c r="H17" s="15">
        <v>3500</v>
      </c>
      <c r="I17" s="15">
        <f t="shared" si="0"/>
        <v>17500</v>
      </c>
      <c r="J17" s="15" t="s">
        <v>34</v>
      </c>
    </row>
    <row r="18" spans="1:10">
      <c r="A18" s="15" t="s">
        <v>80</v>
      </c>
      <c r="B18" s="15" t="s">
        <v>81</v>
      </c>
      <c r="C18" s="15" t="s">
        <v>82</v>
      </c>
      <c r="D18" s="15" t="s">
        <v>13</v>
      </c>
      <c r="E18" s="15" t="s">
        <v>43</v>
      </c>
      <c r="F18" s="15" t="s">
        <v>39</v>
      </c>
      <c r="G18" s="15">
        <v>6</v>
      </c>
      <c r="H18" s="15">
        <v>8000</v>
      </c>
      <c r="I18" s="15">
        <f t="shared" si="0"/>
        <v>48000</v>
      </c>
      <c r="J18" s="15" t="s">
        <v>16</v>
      </c>
    </row>
    <row r="19" spans="1:10">
      <c r="A19" s="15" t="s">
        <v>83</v>
      </c>
      <c r="B19" s="15" t="s">
        <v>84</v>
      </c>
      <c r="C19" s="15" t="s">
        <v>85</v>
      </c>
      <c r="D19" s="15" t="s">
        <v>20</v>
      </c>
      <c r="E19" s="15" t="s">
        <v>47</v>
      </c>
      <c r="F19" s="15" t="s">
        <v>39</v>
      </c>
      <c r="G19" s="15">
        <v>1</v>
      </c>
      <c r="H19" s="15">
        <v>9000</v>
      </c>
      <c r="I19" s="15">
        <f t="shared" si="0"/>
        <v>9000</v>
      </c>
      <c r="J19" s="15" t="s">
        <v>22</v>
      </c>
    </row>
    <row r="20" spans="1:10">
      <c r="A20" s="15" t="s">
        <v>86</v>
      </c>
      <c r="B20" s="15" t="s">
        <v>87</v>
      </c>
      <c r="C20" s="15" t="s">
        <v>88</v>
      </c>
      <c r="D20" s="15" t="s">
        <v>26</v>
      </c>
      <c r="E20" s="15" t="s">
        <v>51</v>
      </c>
      <c r="F20" s="15" t="s">
        <v>39</v>
      </c>
      <c r="G20" s="15">
        <v>2</v>
      </c>
      <c r="H20" s="15">
        <v>30000</v>
      </c>
      <c r="I20" s="15">
        <f t="shared" si="0"/>
        <v>60000</v>
      </c>
      <c r="J20" s="15" t="s">
        <v>28</v>
      </c>
    </row>
    <row r="21" spans="1:10">
      <c r="A21" s="15" t="s">
        <v>89</v>
      </c>
      <c r="B21" s="15" t="s">
        <v>90</v>
      </c>
      <c r="C21" s="15" t="s">
        <v>91</v>
      </c>
      <c r="D21" s="15" t="s">
        <v>32</v>
      </c>
      <c r="E21" s="15" t="s">
        <v>55</v>
      </c>
      <c r="F21" s="15" t="s">
        <v>56</v>
      </c>
      <c r="G21" s="15">
        <v>3</v>
      </c>
      <c r="H21" s="15">
        <v>800</v>
      </c>
      <c r="I21" s="15">
        <f t="shared" si="0"/>
        <v>2400</v>
      </c>
      <c r="J21" s="15" t="s">
        <v>34</v>
      </c>
    </row>
    <row r="22" spans="1:10">
      <c r="A22" s="15" t="s">
        <v>92</v>
      </c>
      <c r="B22" s="15" t="s">
        <v>93</v>
      </c>
      <c r="C22" s="15" t="s">
        <v>12</v>
      </c>
      <c r="D22" s="15" t="s">
        <v>13</v>
      </c>
      <c r="E22" s="15" t="s">
        <v>60</v>
      </c>
      <c r="F22" s="15" t="s">
        <v>56</v>
      </c>
      <c r="G22" s="15">
        <v>4</v>
      </c>
      <c r="H22" s="15">
        <v>1200</v>
      </c>
      <c r="I22" s="15">
        <f t="shared" si="0"/>
        <v>4800</v>
      </c>
      <c r="J22" s="15" t="s">
        <v>16</v>
      </c>
    </row>
    <row r="23" spans="1:10">
      <c r="A23" s="15" t="s">
        <v>94</v>
      </c>
      <c r="B23" s="15" t="s">
        <v>95</v>
      </c>
      <c r="C23" s="15" t="s">
        <v>19</v>
      </c>
      <c r="D23" s="15" t="s">
        <v>20</v>
      </c>
      <c r="E23" s="15" t="s">
        <v>64</v>
      </c>
      <c r="F23" s="15" t="s">
        <v>56</v>
      </c>
      <c r="G23" s="15">
        <v>5</v>
      </c>
      <c r="H23" s="15">
        <v>2500</v>
      </c>
      <c r="I23" s="15">
        <f t="shared" si="0"/>
        <v>12500</v>
      </c>
      <c r="J23" s="15" t="s">
        <v>22</v>
      </c>
    </row>
    <row r="24" spans="1:10">
      <c r="A24" s="15" t="s">
        <v>96</v>
      </c>
      <c r="B24" s="15" t="s">
        <v>97</v>
      </c>
      <c r="C24" s="15" t="s">
        <v>25</v>
      </c>
      <c r="D24" s="15" t="s">
        <v>26</v>
      </c>
      <c r="E24" s="15" t="s">
        <v>14</v>
      </c>
      <c r="F24" s="15" t="s">
        <v>15</v>
      </c>
      <c r="G24" s="15">
        <v>6</v>
      </c>
      <c r="H24" s="15">
        <v>55000</v>
      </c>
      <c r="I24" s="15">
        <f t="shared" si="0"/>
        <v>330000</v>
      </c>
      <c r="J24" s="15" t="s">
        <v>28</v>
      </c>
    </row>
    <row r="25" spans="1:10">
      <c r="A25" s="15" t="s">
        <v>98</v>
      </c>
      <c r="B25" s="15" t="s">
        <v>99</v>
      </c>
      <c r="C25" s="15" t="s">
        <v>31</v>
      </c>
      <c r="D25" s="15" t="s">
        <v>32</v>
      </c>
      <c r="E25" s="15" t="s">
        <v>21</v>
      </c>
      <c r="F25" s="15" t="s">
        <v>15</v>
      </c>
      <c r="G25" s="15">
        <v>1</v>
      </c>
      <c r="H25" s="15">
        <v>25000</v>
      </c>
      <c r="I25" s="15">
        <f t="shared" si="0"/>
        <v>25000</v>
      </c>
      <c r="J25" s="15" t="s">
        <v>34</v>
      </c>
    </row>
    <row r="26" spans="1:10">
      <c r="A26" s="15" t="s">
        <v>100</v>
      </c>
      <c r="B26" s="15" t="s">
        <v>101</v>
      </c>
      <c r="C26" s="15" t="s">
        <v>37</v>
      </c>
      <c r="D26" s="15" t="s">
        <v>13</v>
      </c>
      <c r="E26" s="15" t="s">
        <v>27</v>
      </c>
      <c r="F26" s="15" t="s">
        <v>15</v>
      </c>
      <c r="G26" s="15">
        <v>2</v>
      </c>
      <c r="H26" s="15">
        <v>15000</v>
      </c>
      <c r="I26" s="15">
        <f t="shared" si="0"/>
        <v>30000</v>
      </c>
      <c r="J26" s="15" t="s">
        <v>16</v>
      </c>
    </row>
    <row r="27" spans="1:10">
      <c r="A27" s="15" t="s">
        <v>102</v>
      </c>
      <c r="B27" s="15" t="s">
        <v>103</v>
      </c>
      <c r="C27" s="15" t="s">
        <v>42</v>
      </c>
      <c r="D27" s="15" t="s">
        <v>20</v>
      </c>
      <c r="E27" s="15" t="s">
        <v>33</v>
      </c>
      <c r="F27" s="15" t="s">
        <v>15</v>
      </c>
      <c r="G27" s="15">
        <v>3</v>
      </c>
      <c r="H27" s="15">
        <v>18000</v>
      </c>
      <c r="I27" s="15">
        <f t="shared" si="0"/>
        <v>54000</v>
      </c>
      <c r="J27" s="15" t="s">
        <v>22</v>
      </c>
    </row>
    <row r="28" spans="1:10">
      <c r="A28" s="15" t="s">
        <v>104</v>
      </c>
      <c r="B28" s="15" t="s">
        <v>105</v>
      </c>
      <c r="C28" s="15" t="s">
        <v>46</v>
      </c>
      <c r="D28" s="15" t="s">
        <v>26</v>
      </c>
      <c r="E28" s="15" t="s">
        <v>38</v>
      </c>
      <c r="F28" s="15" t="s">
        <v>39</v>
      </c>
      <c r="G28" s="15">
        <v>4</v>
      </c>
      <c r="H28" s="15">
        <v>3500</v>
      </c>
      <c r="I28" s="15">
        <f t="shared" si="0"/>
        <v>14000</v>
      </c>
      <c r="J28" s="15" t="s">
        <v>28</v>
      </c>
    </row>
    <row r="29" spans="1:10">
      <c r="A29" s="15" t="s">
        <v>106</v>
      </c>
      <c r="B29" s="15" t="s">
        <v>107</v>
      </c>
      <c r="C29" s="15" t="s">
        <v>50</v>
      </c>
      <c r="D29" s="15" t="s">
        <v>32</v>
      </c>
      <c r="E29" s="15" t="s">
        <v>43</v>
      </c>
      <c r="F29" s="15" t="s">
        <v>39</v>
      </c>
      <c r="G29" s="15">
        <v>5</v>
      </c>
      <c r="H29" s="15">
        <v>8000</v>
      </c>
      <c r="I29" s="15">
        <f t="shared" si="0"/>
        <v>40000</v>
      </c>
      <c r="J29" s="15" t="s">
        <v>34</v>
      </c>
    </row>
    <row r="30" spans="1:10">
      <c r="A30" s="15" t="s">
        <v>108</v>
      </c>
      <c r="B30" s="15" t="s">
        <v>109</v>
      </c>
      <c r="C30" s="15" t="s">
        <v>54</v>
      </c>
      <c r="D30" s="15" t="s">
        <v>13</v>
      </c>
      <c r="E30" s="15" t="s">
        <v>47</v>
      </c>
      <c r="F30" s="15" t="s">
        <v>39</v>
      </c>
      <c r="G30" s="15">
        <v>6</v>
      </c>
      <c r="H30" s="15">
        <v>9000</v>
      </c>
      <c r="I30" s="15">
        <f t="shared" si="0"/>
        <v>54000</v>
      </c>
      <c r="J30" s="15" t="s">
        <v>16</v>
      </c>
    </row>
    <row r="31" spans="1:10">
      <c r="A31" s="15" t="s">
        <v>110</v>
      </c>
      <c r="B31" s="15" t="s">
        <v>111</v>
      </c>
      <c r="C31" s="15" t="s">
        <v>59</v>
      </c>
      <c r="D31" s="15" t="s">
        <v>20</v>
      </c>
      <c r="E31" s="15" t="s">
        <v>51</v>
      </c>
      <c r="F31" s="15" t="s">
        <v>39</v>
      </c>
      <c r="G31" s="15">
        <v>1</v>
      </c>
      <c r="H31" s="15">
        <v>30000</v>
      </c>
      <c r="I31" s="15">
        <f t="shared" si="0"/>
        <v>30000</v>
      </c>
      <c r="J31" s="15" t="s">
        <v>22</v>
      </c>
    </row>
    <row r="32" spans="1:10">
      <c r="A32" s="15" t="s">
        <v>112</v>
      </c>
      <c r="B32" s="15" t="s">
        <v>113</v>
      </c>
      <c r="C32" s="15" t="s">
        <v>63</v>
      </c>
      <c r="D32" s="15" t="s">
        <v>26</v>
      </c>
      <c r="E32" s="15" t="s">
        <v>55</v>
      </c>
      <c r="F32" s="15" t="s">
        <v>56</v>
      </c>
      <c r="G32" s="15">
        <v>2</v>
      </c>
      <c r="H32" s="15">
        <v>800</v>
      </c>
      <c r="I32" s="15">
        <f t="shared" si="0"/>
        <v>1600</v>
      </c>
      <c r="J32" s="15" t="s">
        <v>28</v>
      </c>
    </row>
    <row r="33" spans="1:10">
      <c r="A33" s="15" t="s">
        <v>114</v>
      </c>
      <c r="B33" s="15" t="s">
        <v>115</v>
      </c>
      <c r="C33" s="15" t="s">
        <v>67</v>
      </c>
      <c r="D33" s="15" t="s">
        <v>32</v>
      </c>
      <c r="E33" s="15" t="s">
        <v>60</v>
      </c>
      <c r="F33" s="15" t="s">
        <v>56</v>
      </c>
      <c r="G33" s="15">
        <v>3</v>
      </c>
      <c r="H33" s="15">
        <v>1200</v>
      </c>
      <c r="I33" s="15">
        <f t="shared" si="0"/>
        <v>3600</v>
      </c>
      <c r="J33" s="15" t="s">
        <v>34</v>
      </c>
    </row>
    <row r="34" spans="1:10">
      <c r="A34" s="15" t="s">
        <v>116</v>
      </c>
      <c r="B34" s="15" t="s">
        <v>117</v>
      </c>
      <c r="C34" s="15" t="s">
        <v>70</v>
      </c>
      <c r="D34" s="15" t="s">
        <v>13</v>
      </c>
      <c r="E34" s="15" t="s">
        <v>64</v>
      </c>
      <c r="F34" s="15" t="s">
        <v>56</v>
      </c>
      <c r="G34" s="15">
        <v>4</v>
      </c>
      <c r="H34" s="15">
        <v>2500</v>
      </c>
      <c r="I34" s="15">
        <f t="shared" si="0"/>
        <v>10000</v>
      </c>
      <c r="J34" s="15" t="s">
        <v>16</v>
      </c>
    </row>
    <row r="35" spans="1:10">
      <c r="A35" s="15" t="s">
        <v>118</v>
      </c>
      <c r="B35" s="15" t="s">
        <v>119</v>
      </c>
      <c r="C35" s="15" t="s">
        <v>73</v>
      </c>
      <c r="D35" s="15" t="s">
        <v>20</v>
      </c>
      <c r="E35" s="15" t="s">
        <v>14</v>
      </c>
      <c r="F35" s="15" t="s">
        <v>15</v>
      </c>
      <c r="G35" s="15">
        <v>5</v>
      </c>
      <c r="H35" s="15">
        <v>55000</v>
      </c>
      <c r="I35" s="15">
        <f t="shared" si="0"/>
        <v>275000</v>
      </c>
      <c r="J35" s="15" t="s">
        <v>22</v>
      </c>
    </row>
    <row r="36" spans="1:10">
      <c r="A36" s="15" t="s">
        <v>120</v>
      </c>
      <c r="B36" s="15" t="s">
        <v>121</v>
      </c>
      <c r="C36" s="15" t="s">
        <v>76</v>
      </c>
      <c r="D36" s="15" t="s">
        <v>26</v>
      </c>
      <c r="E36" s="15" t="s">
        <v>21</v>
      </c>
      <c r="F36" s="15" t="s">
        <v>15</v>
      </c>
      <c r="G36" s="15">
        <v>6</v>
      </c>
      <c r="H36" s="15">
        <v>25000</v>
      </c>
      <c r="I36" s="15">
        <f t="shared" si="0"/>
        <v>150000</v>
      </c>
      <c r="J36" s="15" t="s">
        <v>28</v>
      </c>
    </row>
    <row r="37" spans="1:10">
      <c r="A37" s="15" t="s">
        <v>122</v>
      </c>
      <c r="B37" s="15" t="s">
        <v>123</v>
      </c>
      <c r="C37" s="15" t="s">
        <v>79</v>
      </c>
      <c r="D37" s="15" t="s">
        <v>32</v>
      </c>
      <c r="E37" s="15" t="s">
        <v>27</v>
      </c>
      <c r="F37" s="15" t="s">
        <v>15</v>
      </c>
      <c r="G37" s="15">
        <v>1</v>
      </c>
      <c r="H37" s="15">
        <v>15000</v>
      </c>
      <c r="I37" s="15">
        <f t="shared" si="0"/>
        <v>15000</v>
      </c>
      <c r="J37" s="15" t="s">
        <v>34</v>
      </c>
    </row>
    <row r="38" spans="1:10">
      <c r="A38" s="15" t="s">
        <v>124</v>
      </c>
      <c r="B38" s="15" t="s">
        <v>125</v>
      </c>
      <c r="C38" s="15" t="s">
        <v>82</v>
      </c>
      <c r="D38" s="15" t="s">
        <v>13</v>
      </c>
      <c r="E38" s="15" t="s">
        <v>33</v>
      </c>
      <c r="F38" s="15" t="s">
        <v>15</v>
      </c>
      <c r="G38" s="15">
        <v>2</v>
      </c>
      <c r="H38" s="15">
        <v>18000</v>
      </c>
      <c r="I38" s="15">
        <f t="shared" si="0"/>
        <v>36000</v>
      </c>
      <c r="J38" s="15" t="s">
        <v>16</v>
      </c>
    </row>
    <row r="39" spans="1:10">
      <c r="A39" s="15" t="s">
        <v>126</v>
      </c>
      <c r="B39" s="15" t="s">
        <v>127</v>
      </c>
      <c r="C39" s="15" t="s">
        <v>85</v>
      </c>
      <c r="D39" s="15" t="s">
        <v>20</v>
      </c>
      <c r="E39" s="15" t="s">
        <v>38</v>
      </c>
      <c r="F39" s="15" t="s">
        <v>39</v>
      </c>
      <c r="G39" s="15">
        <v>3</v>
      </c>
      <c r="H39" s="15">
        <v>3500</v>
      </c>
      <c r="I39" s="15">
        <f t="shared" si="0"/>
        <v>10500</v>
      </c>
      <c r="J39" s="15" t="s">
        <v>22</v>
      </c>
    </row>
    <row r="40" spans="1:10">
      <c r="A40" s="15" t="s">
        <v>128</v>
      </c>
      <c r="B40" s="15" t="s">
        <v>129</v>
      </c>
      <c r="C40" s="15" t="s">
        <v>88</v>
      </c>
      <c r="D40" s="15" t="s">
        <v>26</v>
      </c>
      <c r="E40" s="15" t="s">
        <v>43</v>
      </c>
      <c r="F40" s="15" t="s">
        <v>39</v>
      </c>
      <c r="G40" s="15">
        <v>4</v>
      </c>
      <c r="H40" s="15">
        <v>8000</v>
      </c>
      <c r="I40" s="15">
        <f t="shared" si="0"/>
        <v>32000</v>
      </c>
      <c r="J40" s="15" t="s">
        <v>28</v>
      </c>
    </row>
    <row r="41" spans="1:10">
      <c r="A41" s="15" t="s">
        <v>130</v>
      </c>
      <c r="B41" s="15" t="s">
        <v>131</v>
      </c>
      <c r="C41" s="15" t="s">
        <v>91</v>
      </c>
      <c r="D41" s="15" t="s">
        <v>32</v>
      </c>
      <c r="E41" s="15" t="s">
        <v>47</v>
      </c>
      <c r="F41" s="15" t="s">
        <v>39</v>
      </c>
      <c r="G41" s="15">
        <v>5</v>
      </c>
      <c r="H41" s="15">
        <v>9000</v>
      </c>
      <c r="I41" s="15">
        <f t="shared" si="0"/>
        <v>45000</v>
      </c>
      <c r="J41" s="15" t="s">
        <v>34</v>
      </c>
    </row>
    <row r="42" spans="1:10">
      <c r="A42" s="15" t="s">
        <v>132</v>
      </c>
      <c r="B42" s="15" t="s">
        <v>133</v>
      </c>
      <c r="C42" s="15" t="s">
        <v>12</v>
      </c>
      <c r="D42" s="15" t="s">
        <v>13</v>
      </c>
      <c r="E42" s="15" t="s">
        <v>51</v>
      </c>
      <c r="F42" s="15" t="s">
        <v>39</v>
      </c>
      <c r="G42" s="15">
        <v>6</v>
      </c>
      <c r="H42" s="15">
        <v>30000</v>
      </c>
      <c r="I42" s="15">
        <f t="shared" si="0"/>
        <v>180000</v>
      </c>
      <c r="J42" s="15" t="s">
        <v>16</v>
      </c>
    </row>
    <row r="43" spans="1:10">
      <c r="A43" s="15" t="s">
        <v>134</v>
      </c>
      <c r="B43" s="15" t="s">
        <v>135</v>
      </c>
      <c r="C43" s="15" t="s">
        <v>19</v>
      </c>
      <c r="D43" s="15" t="s">
        <v>20</v>
      </c>
      <c r="E43" s="15" t="s">
        <v>55</v>
      </c>
      <c r="F43" s="15" t="s">
        <v>56</v>
      </c>
      <c r="G43" s="15">
        <v>1</v>
      </c>
      <c r="H43" s="15">
        <v>800</v>
      </c>
      <c r="I43" s="15">
        <f t="shared" si="0"/>
        <v>800</v>
      </c>
      <c r="J43" s="15" t="s">
        <v>22</v>
      </c>
    </row>
    <row r="44" spans="1:10">
      <c r="A44" s="15" t="s">
        <v>136</v>
      </c>
      <c r="B44" s="15" t="s">
        <v>137</v>
      </c>
      <c r="C44" s="15" t="s">
        <v>25</v>
      </c>
      <c r="D44" s="15" t="s">
        <v>26</v>
      </c>
      <c r="E44" s="15" t="s">
        <v>60</v>
      </c>
      <c r="F44" s="15" t="s">
        <v>56</v>
      </c>
      <c r="G44" s="15">
        <v>2</v>
      </c>
      <c r="H44" s="15">
        <v>1200</v>
      </c>
      <c r="I44" s="15">
        <f t="shared" si="0"/>
        <v>2400</v>
      </c>
      <c r="J44" s="15" t="s">
        <v>28</v>
      </c>
    </row>
    <row r="45" spans="1:10">
      <c r="A45" s="15" t="s">
        <v>138</v>
      </c>
      <c r="B45" s="15" t="s">
        <v>139</v>
      </c>
      <c r="C45" s="15" t="s">
        <v>31</v>
      </c>
      <c r="D45" s="15" t="s">
        <v>32</v>
      </c>
      <c r="E45" s="15" t="s">
        <v>64</v>
      </c>
      <c r="F45" s="15" t="s">
        <v>56</v>
      </c>
      <c r="G45" s="15">
        <v>3</v>
      </c>
      <c r="H45" s="15">
        <v>2500</v>
      </c>
      <c r="I45" s="15">
        <f t="shared" si="0"/>
        <v>7500</v>
      </c>
      <c r="J45" s="15" t="s">
        <v>34</v>
      </c>
    </row>
    <row r="46" spans="1:10">
      <c r="A46" s="15" t="s">
        <v>140</v>
      </c>
      <c r="B46" s="15" t="s">
        <v>141</v>
      </c>
      <c r="C46" s="15" t="s">
        <v>37</v>
      </c>
      <c r="D46" s="15" t="s">
        <v>13</v>
      </c>
      <c r="E46" s="15" t="s">
        <v>14</v>
      </c>
      <c r="F46" s="15" t="s">
        <v>15</v>
      </c>
      <c r="G46" s="15">
        <v>4</v>
      </c>
      <c r="H46" s="15">
        <v>55000</v>
      </c>
      <c r="I46" s="15">
        <f t="shared" si="0"/>
        <v>220000</v>
      </c>
      <c r="J46" s="15" t="s">
        <v>16</v>
      </c>
    </row>
    <row r="47" spans="1:10">
      <c r="A47" s="15" t="s">
        <v>142</v>
      </c>
      <c r="B47" s="15" t="s">
        <v>143</v>
      </c>
      <c r="C47" s="15" t="s">
        <v>42</v>
      </c>
      <c r="D47" s="15" t="s">
        <v>20</v>
      </c>
      <c r="E47" s="15" t="s">
        <v>21</v>
      </c>
      <c r="F47" s="15" t="s">
        <v>15</v>
      </c>
      <c r="G47" s="15">
        <v>5</v>
      </c>
      <c r="H47" s="15">
        <v>25000</v>
      </c>
      <c r="I47" s="15">
        <f t="shared" si="0"/>
        <v>125000</v>
      </c>
      <c r="J47" s="15" t="s">
        <v>22</v>
      </c>
    </row>
    <row r="48" spans="1:10">
      <c r="A48" s="15" t="s">
        <v>144</v>
      </c>
      <c r="B48" s="15" t="s">
        <v>145</v>
      </c>
      <c r="C48" s="15" t="s">
        <v>46</v>
      </c>
      <c r="D48" s="15" t="s">
        <v>26</v>
      </c>
      <c r="E48" s="15" t="s">
        <v>27</v>
      </c>
      <c r="F48" s="15" t="s">
        <v>15</v>
      </c>
      <c r="G48" s="15">
        <v>6</v>
      </c>
      <c r="H48" s="15">
        <v>15000</v>
      </c>
      <c r="I48" s="15">
        <f t="shared" si="0"/>
        <v>90000</v>
      </c>
      <c r="J48" s="15" t="s">
        <v>28</v>
      </c>
    </row>
    <row r="49" spans="1:10">
      <c r="A49" s="15" t="s">
        <v>146</v>
      </c>
      <c r="B49" s="15" t="s">
        <v>147</v>
      </c>
      <c r="C49" s="15" t="s">
        <v>50</v>
      </c>
      <c r="D49" s="15" t="s">
        <v>32</v>
      </c>
      <c r="E49" s="15" t="s">
        <v>33</v>
      </c>
      <c r="F49" s="15" t="s">
        <v>15</v>
      </c>
      <c r="G49" s="15">
        <v>1</v>
      </c>
      <c r="H49" s="15">
        <v>18000</v>
      </c>
      <c r="I49" s="15">
        <f t="shared" si="0"/>
        <v>18000</v>
      </c>
      <c r="J49" s="15" t="s">
        <v>34</v>
      </c>
    </row>
    <row r="50" spans="1:10">
      <c r="A50" s="15" t="s">
        <v>148</v>
      </c>
      <c r="B50" s="15" t="s">
        <v>149</v>
      </c>
      <c r="C50" s="15" t="s">
        <v>54</v>
      </c>
      <c r="D50" s="15" t="s">
        <v>13</v>
      </c>
      <c r="E50" s="15" t="s">
        <v>38</v>
      </c>
      <c r="F50" s="15" t="s">
        <v>39</v>
      </c>
      <c r="G50" s="15">
        <v>2</v>
      </c>
      <c r="H50" s="15">
        <v>3500</v>
      </c>
      <c r="I50" s="15">
        <f t="shared" si="0"/>
        <v>7000</v>
      </c>
      <c r="J50" s="15" t="s">
        <v>16</v>
      </c>
    </row>
    <row r="51" spans="1:10">
      <c r="A51" s="15" t="s">
        <v>150</v>
      </c>
      <c r="B51" s="15" t="s">
        <v>151</v>
      </c>
      <c r="C51" s="15" t="s">
        <v>59</v>
      </c>
      <c r="D51" s="15" t="s">
        <v>20</v>
      </c>
      <c r="E51" s="15" t="s">
        <v>43</v>
      </c>
      <c r="F51" s="15" t="s">
        <v>39</v>
      </c>
      <c r="G51" s="15">
        <v>3</v>
      </c>
      <c r="H51" s="15">
        <v>8000</v>
      </c>
      <c r="I51" s="15">
        <f t="shared" si="0"/>
        <v>24000</v>
      </c>
      <c r="J51" s="15" t="s">
        <v>22</v>
      </c>
    </row>
    <row r="52" spans="1:10">
      <c r="A52" s="15" t="s">
        <v>152</v>
      </c>
      <c r="B52" s="15" t="s">
        <v>153</v>
      </c>
      <c r="C52" s="15" t="s">
        <v>63</v>
      </c>
      <c r="D52" s="15" t="s">
        <v>26</v>
      </c>
      <c r="E52" s="15" t="s">
        <v>47</v>
      </c>
      <c r="F52" s="15" t="s">
        <v>39</v>
      </c>
      <c r="G52" s="15">
        <v>4</v>
      </c>
      <c r="H52" s="15">
        <v>9000</v>
      </c>
      <c r="I52" s="15">
        <f t="shared" si="0"/>
        <v>36000</v>
      </c>
      <c r="J52" s="15" t="s">
        <v>28</v>
      </c>
    </row>
    <row r="53" spans="1:10">
      <c r="A53" s="15" t="s">
        <v>154</v>
      </c>
      <c r="B53" s="15" t="s">
        <v>155</v>
      </c>
      <c r="C53" s="15" t="s">
        <v>67</v>
      </c>
      <c r="D53" s="15" t="s">
        <v>32</v>
      </c>
      <c r="E53" s="15" t="s">
        <v>51</v>
      </c>
      <c r="F53" s="15" t="s">
        <v>39</v>
      </c>
      <c r="G53" s="15">
        <v>5</v>
      </c>
      <c r="H53" s="15">
        <v>30000</v>
      </c>
      <c r="I53" s="15">
        <f t="shared" si="0"/>
        <v>150000</v>
      </c>
      <c r="J53" s="15" t="s">
        <v>34</v>
      </c>
    </row>
    <row r="54" spans="1:10">
      <c r="A54" s="15" t="s">
        <v>156</v>
      </c>
      <c r="B54" s="15" t="s">
        <v>157</v>
      </c>
      <c r="C54" s="15" t="s">
        <v>70</v>
      </c>
      <c r="D54" s="15" t="s">
        <v>13</v>
      </c>
      <c r="E54" s="15" t="s">
        <v>55</v>
      </c>
      <c r="F54" s="15" t="s">
        <v>56</v>
      </c>
      <c r="G54" s="15">
        <v>6</v>
      </c>
      <c r="H54" s="15">
        <v>800</v>
      </c>
      <c r="I54" s="15">
        <f t="shared" si="0"/>
        <v>4800</v>
      </c>
      <c r="J54" s="15" t="s">
        <v>16</v>
      </c>
    </row>
    <row r="55" spans="1:10">
      <c r="A55" s="15" t="s">
        <v>158</v>
      </c>
      <c r="B55" s="15" t="s">
        <v>159</v>
      </c>
      <c r="C55" s="15" t="s">
        <v>73</v>
      </c>
      <c r="D55" s="15" t="s">
        <v>20</v>
      </c>
      <c r="E55" s="15" t="s">
        <v>60</v>
      </c>
      <c r="F55" s="15" t="s">
        <v>56</v>
      </c>
      <c r="G55" s="15">
        <v>1</v>
      </c>
      <c r="H55" s="15">
        <v>1200</v>
      </c>
      <c r="I55" s="15">
        <f t="shared" si="0"/>
        <v>1200</v>
      </c>
      <c r="J55" s="15" t="s">
        <v>22</v>
      </c>
    </row>
    <row r="56" spans="1:10">
      <c r="A56" s="15" t="s">
        <v>160</v>
      </c>
      <c r="B56" s="15" t="s">
        <v>161</v>
      </c>
      <c r="C56" s="15" t="s">
        <v>76</v>
      </c>
      <c r="D56" s="15" t="s">
        <v>26</v>
      </c>
      <c r="E56" s="15" t="s">
        <v>64</v>
      </c>
      <c r="F56" s="15" t="s">
        <v>56</v>
      </c>
      <c r="G56" s="15">
        <v>2</v>
      </c>
      <c r="H56" s="15">
        <v>2500</v>
      </c>
      <c r="I56" s="15">
        <f t="shared" si="0"/>
        <v>5000</v>
      </c>
      <c r="J56" s="15" t="s">
        <v>28</v>
      </c>
    </row>
    <row r="57" spans="1:10">
      <c r="A57" s="15" t="s">
        <v>162</v>
      </c>
      <c r="B57" s="15" t="s">
        <v>163</v>
      </c>
      <c r="C57" s="15" t="s">
        <v>79</v>
      </c>
      <c r="D57" s="15" t="s">
        <v>32</v>
      </c>
      <c r="E57" s="15" t="s">
        <v>14</v>
      </c>
      <c r="F57" s="15" t="s">
        <v>15</v>
      </c>
      <c r="G57" s="15">
        <v>3</v>
      </c>
      <c r="H57" s="15">
        <v>55000</v>
      </c>
      <c r="I57" s="15">
        <f t="shared" si="0"/>
        <v>165000</v>
      </c>
      <c r="J57" s="15" t="s">
        <v>34</v>
      </c>
    </row>
    <row r="58" spans="1:10">
      <c r="A58" s="15" t="s">
        <v>164</v>
      </c>
      <c r="B58" s="15" t="s">
        <v>165</v>
      </c>
      <c r="C58" s="15" t="s">
        <v>82</v>
      </c>
      <c r="D58" s="15" t="s">
        <v>13</v>
      </c>
      <c r="E58" s="15" t="s">
        <v>21</v>
      </c>
      <c r="F58" s="15" t="s">
        <v>15</v>
      </c>
      <c r="G58" s="15">
        <v>4</v>
      </c>
      <c r="H58" s="15">
        <v>25000</v>
      </c>
      <c r="I58" s="15">
        <f t="shared" si="0"/>
        <v>100000</v>
      </c>
      <c r="J58" s="15" t="s">
        <v>16</v>
      </c>
    </row>
    <row r="59" spans="1:10">
      <c r="A59" s="15" t="s">
        <v>166</v>
      </c>
      <c r="B59" s="15" t="s">
        <v>167</v>
      </c>
      <c r="C59" s="15" t="s">
        <v>85</v>
      </c>
      <c r="D59" s="15" t="s">
        <v>20</v>
      </c>
      <c r="E59" s="15" t="s">
        <v>27</v>
      </c>
      <c r="F59" s="15" t="s">
        <v>15</v>
      </c>
      <c r="G59" s="15">
        <v>5</v>
      </c>
      <c r="H59" s="15">
        <v>15000</v>
      </c>
      <c r="I59" s="15">
        <f t="shared" si="0"/>
        <v>75000</v>
      </c>
      <c r="J59" s="15" t="s">
        <v>22</v>
      </c>
    </row>
    <row r="60" spans="1:10">
      <c r="A60" s="15" t="s">
        <v>168</v>
      </c>
      <c r="B60" s="15" t="s">
        <v>169</v>
      </c>
      <c r="C60" s="15" t="s">
        <v>88</v>
      </c>
      <c r="D60" s="15" t="s">
        <v>26</v>
      </c>
      <c r="E60" s="15" t="s">
        <v>33</v>
      </c>
      <c r="F60" s="15" t="s">
        <v>15</v>
      </c>
      <c r="G60" s="15">
        <v>6</v>
      </c>
      <c r="H60" s="15">
        <v>18000</v>
      </c>
      <c r="I60" s="15">
        <f t="shared" si="0"/>
        <v>108000</v>
      </c>
      <c r="J60" s="15" t="s">
        <v>28</v>
      </c>
    </row>
    <row r="61" spans="1:10">
      <c r="A61" s="15" t="s">
        <v>170</v>
      </c>
      <c r="B61" s="15" t="s">
        <v>171</v>
      </c>
      <c r="C61" s="15" t="s">
        <v>91</v>
      </c>
      <c r="D61" s="15" t="s">
        <v>32</v>
      </c>
      <c r="E61" s="15" t="s">
        <v>38</v>
      </c>
      <c r="F61" s="15" t="s">
        <v>39</v>
      </c>
      <c r="G61" s="15">
        <v>1</v>
      </c>
      <c r="H61" s="15">
        <v>3500</v>
      </c>
      <c r="I61" s="15">
        <f t="shared" si="0"/>
        <v>3500</v>
      </c>
      <c r="J61" s="15" t="s">
        <v>34</v>
      </c>
    </row>
    <row r="62" spans="1:10">
      <c r="A62" s="15" t="s">
        <v>172</v>
      </c>
      <c r="B62" s="15" t="s">
        <v>173</v>
      </c>
      <c r="C62" s="15" t="s">
        <v>12</v>
      </c>
      <c r="D62" s="15" t="s">
        <v>13</v>
      </c>
      <c r="E62" s="15" t="s">
        <v>43</v>
      </c>
      <c r="F62" s="15" t="s">
        <v>39</v>
      </c>
      <c r="G62" s="15">
        <v>2</v>
      </c>
      <c r="H62" s="15">
        <v>8000</v>
      </c>
      <c r="I62" s="15">
        <f t="shared" si="0"/>
        <v>16000</v>
      </c>
      <c r="J62" s="15" t="s">
        <v>16</v>
      </c>
    </row>
    <row r="63" spans="1:10">
      <c r="A63" s="15" t="s">
        <v>174</v>
      </c>
      <c r="B63" s="15" t="s">
        <v>175</v>
      </c>
      <c r="C63" s="15" t="s">
        <v>19</v>
      </c>
      <c r="D63" s="15" t="s">
        <v>20</v>
      </c>
      <c r="E63" s="15" t="s">
        <v>47</v>
      </c>
      <c r="F63" s="15" t="s">
        <v>39</v>
      </c>
      <c r="G63" s="15">
        <v>3</v>
      </c>
      <c r="H63" s="15">
        <v>9000</v>
      </c>
      <c r="I63" s="15">
        <f t="shared" si="0"/>
        <v>27000</v>
      </c>
      <c r="J63" s="15" t="s">
        <v>22</v>
      </c>
    </row>
    <row r="64" spans="1:10">
      <c r="A64" s="15" t="s">
        <v>176</v>
      </c>
      <c r="B64" s="15" t="s">
        <v>177</v>
      </c>
      <c r="C64" s="15" t="s">
        <v>25</v>
      </c>
      <c r="D64" s="15" t="s">
        <v>26</v>
      </c>
      <c r="E64" s="15" t="s">
        <v>51</v>
      </c>
      <c r="F64" s="15" t="s">
        <v>39</v>
      </c>
      <c r="G64" s="15">
        <v>4</v>
      </c>
      <c r="H64" s="15">
        <v>30000</v>
      </c>
      <c r="I64" s="15">
        <f t="shared" si="0"/>
        <v>120000</v>
      </c>
      <c r="J64" s="15" t="s">
        <v>28</v>
      </c>
    </row>
    <row r="65" spans="1:10">
      <c r="A65" s="15" t="s">
        <v>178</v>
      </c>
      <c r="B65" s="15" t="s">
        <v>179</v>
      </c>
      <c r="C65" s="15" t="s">
        <v>31</v>
      </c>
      <c r="D65" s="15" t="s">
        <v>32</v>
      </c>
      <c r="E65" s="15" t="s">
        <v>55</v>
      </c>
      <c r="F65" s="15" t="s">
        <v>56</v>
      </c>
      <c r="G65" s="15">
        <v>5</v>
      </c>
      <c r="H65" s="15">
        <v>800</v>
      </c>
      <c r="I65" s="15">
        <f t="shared" si="0"/>
        <v>4000</v>
      </c>
      <c r="J65" s="15" t="s">
        <v>34</v>
      </c>
    </row>
    <row r="66" spans="1:10">
      <c r="A66" s="15" t="s">
        <v>180</v>
      </c>
      <c r="B66" s="15" t="s">
        <v>181</v>
      </c>
      <c r="C66" s="15" t="s">
        <v>37</v>
      </c>
      <c r="D66" s="15" t="s">
        <v>13</v>
      </c>
      <c r="E66" s="15" t="s">
        <v>60</v>
      </c>
      <c r="F66" s="15" t="s">
        <v>56</v>
      </c>
      <c r="G66" s="15">
        <v>6</v>
      </c>
      <c r="H66" s="15">
        <v>1200</v>
      </c>
      <c r="I66" s="15">
        <f t="shared" ref="I66:I101" si="1">G66*H66</f>
        <v>7200</v>
      </c>
      <c r="J66" s="15" t="s">
        <v>16</v>
      </c>
    </row>
    <row r="67" spans="1:10">
      <c r="A67" s="15" t="s">
        <v>182</v>
      </c>
      <c r="B67" s="15" t="s">
        <v>183</v>
      </c>
      <c r="C67" s="15" t="s">
        <v>42</v>
      </c>
      <c r="D67" s="15" t="s">
        <v>20</v>
      </c>
      <c r="E67" s="15" t="s">
        <v>64</v>
      </c>
      <c r="F67" s="15" t="s">
        <v>56</v>
      </c>
      <c r="G67" s="15">
        <v>1</v>
      </c>
      <c r="H67" s="15">
        <v>2500</v>
      </c>
      <c r="I67" s="15">
        <f t="shared" si="1"/>
        <v>2500</v>
      </c>
      <c r="J67" s="15" t="s">
        <v>22</v>
      </c>
    </row>
    <row r="68" spans="1:10">
      <c r="A68" s="15" t="s">
        <v>184</v>
      </c>
      <c r="B68" s="15" t="s">
        <v>185</v>
      </c>
      <c r="C68" s="15" t="s">
        <v>46</v>
      </c>
      <c r="D68" s="15" t="s">
        <v>26</v>
      </c>
      <c r="E68" s="15" t="s">
        <v>14</v>
      </c>
      <c r="F68" s="15" t="s">
        <v>15</v>
      </c>
      <c r="G68" s="15">
        <v>2</v>
      </c>
      <c r="H68" s="15">
        <v>55000</v>
      </c>
      <c r="I68" s="15">
        <f t="shared" si="1"/>
        <v>110000</v>
      </c>
      <c r="J68" s="15" t="s">
        <v>28</v>
      </c>
    </row>
    <row r="69" spans="1:10">
      <c r="A69" s="15" t="s">
        <v>186</v>
      </c>
      <c r="B69" s="15" t="s">
        <v>187</v>
      </c>
      <c r="C69" s="15" t="s">
        <v>50</v>
      </c>
      <c r="D69" s="15" t="s">
        <v>32</v>
      </c>
      <c r="E69" s="15" t="s">
        <v>21</v>
      </c>
      <c r="F69" s="15" t="s">
        <v>15</v>
      </c>
      <c r="G69" s="15">
        <v>3</v>
      </c>
      <c r="H69" s="15">
        <v>25000</v>
      </c>
      <c r="I69" s="15">
        <f t="shared" si="1"/>
        <v>75000</v>
      </c>
      <c r="J69" s="15" t="s">
        <v>34</v>
      </c>
    </row>
    <row r="70" spans="1:10">
      <c r="A70" s="15" t="s">
        <v>188</v>
      </c>
      <c r="B70" s="15" t="s">
        <v>189</v>
      </c>
      <c r="C70" s="15" t="s">
        <v>54</v>
      </c>
      <c r="D70" s="15" t="s">
        <v>13</v>
      </c>
      <c r="E70" s="15" t="s">
        <v>27</v>
      </c>
      <c r="F70" s="15" t="s">
        <v>15</v>
      </c>
      <c r="G70" s="15">
        <v>4</v>
      </c>
      <c r="H70" s="15">
        <v>15000</v>
      </c>
      <c r="I70" s="15">
        <f t="shared" si="1"/>
        <v>60000</v>
      </c>
      <c r="J70" s="15" t="s">
        <v>16</v>
      </c>
    </row>
    <row r="71" spans="1:10">
      <c r="A71" s="15" t="s">
        <v>190</v>
      </c>
      <c r="B71" s="15" t="s">
        <v>191</v>
      </c>
      <c r="C71" s="15" t="s">
        <v>59</v>
      </c>
      <c r="D71" s="15" t="s">
        <v>20</v>
      </c>
      <c r="E71" s="15" t="s">
        <v>33</v>
      </c>
      <c r="F71" s="15" t="s">
        <v>15</v>
      </c>
      <c r="G71" s="15">
        <v>5</v>
      </c>
      <c r="H71" s="15">
        <v>18000</v>
      </c>
      <c r="I71" s="15">
        <f t="shared" si="1"/>
        <v>90000</v>
      </c>
      <c r="J71" s="15" t="s">
        <v>22</v>
      </c>
    </row>
    <row r="72" spans="1:10">
      <c r="A72" s="15" t="s">
        <v>192</v>
      </c>
      <c r="B72" s="15" t="s">
        <v>193</v>
      </c>
      <c r="C72" s="15" t="s">
        <v>63</v>
      </c>
      <c r="D72" s="15" t="s">
        <v>26</v>
      </c>
      <c r="E72" s="15" t="s">
        <v>38</v>
      </c>
      <c r="F72" s="15" t="s">
        <v>39</v>
      </c>
      <c r="G72" s="15">
        <v>6</v>
      </c>
      <c r="H72" s="15">
        <v>3500</v>
      </c>
      <c r="I72" s="15">
        <f t="shared" si="1"/>
        <v>21000</v>
      </c>
      <c r="J72" s="15" t="s">
        <v>28</v>
      </c>
    </row>
    <row r="73" spans="1:10">
      <c r="A73" s="15" t="s">
        <v>194</v>
      </c>
      <c r="B73" s="15" t="s">
        <v>195</v>
      </c>
      <c r="C73" s="15" t="s">
        <v>67</v>
      </c>
      <c r="D73" s="15" t="s">
        <v>32</v>
      </c>
      <c r="E73" s="15" t="s">
        <v>43</v>
      </c>
      <c r="F73" s="15" t="s">
        <v>39</v>
      </c>
      <c r="G73" s="15">
        <v>1</v>
      </c>
      <c r="H73" s="15">
        <v>8000</v>
      </c>
      <c r="I73" s="15">
        <f t="shared" si="1"/>
        <v>8000</v>
      </c>
      <c r="J73" s="15" t="s">
        <v>34</v>
      </c>
    </row>
    <row r="74" spans="1:10">
      <c r="A74" s="15" t="s">
        <v>196</v>
      </c>
      <c r="B74" s="15" t="s">
        <v>197</v>
      </c>
      <c r="C74" s="15" t="s">
        <v>70</v>
      </c>
      <c r="D74" s="15" t="s">
        <v>13</v>
      </c>
      <c r="E74" s="15" t="s">
        <v>47</v>
      </c>
      <c r="F74" s="15" t="s">
        <v>39</v>
      </c>
      <c r="G74" s="15">
        <v>2</v>
      </c>
      <c r="H74" s="15">
        <v>9000</v>
      </c>
      <c r="I74" s="15">
        <f t="shared" si="1"/>
        <v>18000</v>
      </c>
      <c r="J74" s="15" t="s">
        <v>16</v>
      </c>
    </row>
    <row r="75" spans="1:10">
      <c r="A75" s="15" t="s">
        <v>198</v>
      </c>
      <c r="B75" s="15" t="s">
        <v>199</v>
      </c>
      <c r="C75" s="15" t="s">
        <v>73</v>
      </c>
      <c r="D75" s="15" t="s">
        <v>20</v>
      </c>
      <c r="E75" s="15" t="s">
        <v>51</v>
      </c>
      <c r="F75" s="15" t="s">
        <v>39</v>
      </c>
      <c r="G75" s="15">
        <v>3</v>
      </c>
      <c r="H75" s="15">
        <v>30000</v>
      </c>
      <c r="I75" s="15">
        <f t="shared" si="1"/>
        <v>90000</v>
      </c>
      <c r="J75" s="15" t="s">
        <v>22</v>
      </c>
    </row>
    <row r="76" spans="1:10">
      <c r="A76" s="15" t="s">
        <v>200</v>
      </c>
      <c r="B76" s="15" t="s">
        <v>201</v>
      </c>
      <c r="C76" s="15" t="s">
        <v>76</v>
      </c>
      <c r="D76" s="15" t="s">
        <v>26</v>
      </c>
      <c r="E76" s="15" t="s">
        <v>55</v>
      </c>
      <c r="F76" s="15" t="s">
        <v>56</v>
      </c>
      <c r="G76" s="15">
        <v>4</v>
      </c>
      <c r="H76" s="15">
        <v>800</v>
      </c>
      <c r="I76" s="15">
        <f t="shared" si="1"/>
        <v>3200</v>
      </c>
      <c r="J76" s="15" t="s">
        <v>28</v>
      </c>
    </row>
    <row r="77" spans="1:10">
      <c r="A77" s="15" t="s">
        <v>202</v>
      </c>
      <c r="B77" s="15" t="s">
        <v>203</v>
      </c>
      <c r="C77" s="15" t="s">
        <v>79</v>
      </c>
      <c r="D77" s="15" t="s">
        <v>32</v>
      </c>
      <c r="E77" s="15" t="s">
        <v>60</v>
      </c>
      <c r="F77" s="15" t="s">
        <v>56</v>
      </c>
      <c r="G77" s="15">
        <v>5</v>
      </c>
      <c r="H77" s="15">
        <v>1200</v>
      </c>
      <c r="I77" s="15">
        <f t="shared" si="1"/>
        <v>6000</v>
      </c>
      <c r="J77" s="15" t="s">
        <v>34</v>
      </c>
    </row>
    <row r="78" spans="1:10">
      <c r="A78" s="15" t="s">
        <v>204</v>
      </c>
      <c r="B78" s="15" t="s">
        <v>205</v>
      </c>
      <c r="C78" s="15" t="s">
        <v>82</v>
      </c>
      <c r="D78" s="15" t="s">
        <v>13</v>
      </c>
      <c r="E78" s="15" t="s">
        <v>64</v>
      </c>
      <c r="F78" s="15" t="s">
        <v>56</v>
      </c>
      <c r="G78" s="15">
        <v>6</v>
      </c>
      <c r="H78" s="15">
        <v>2500</v>
      </c>
      <c r="I78" s="15">
        <f t="shared" si="1"/>
        <v>15000</v>
      </c>
      <c r="J78" s="15" t="s">
        <v>16</v>
      </c>
    </row>
    <row r="79" spans="1:10">
      <c r="A79" s="15" t="s">
        <v>206</v>
      </c>
      <c r="B79" s="15" t="s">
        <v>207</v>
      </c>
      <c r="C79" s="15" t="s">
        <v>85</v>
      </c>
      <c r="D79" s="15" t="s">
        <v>20</v>
      </c>
      <c r="E79" s="15" t="s">
        <v>14</v>
      </c>
      <c r="F79" s="15" t="s">
        <v>15</v>
      </c>
      <c r="G79" s="15">
        <v>1</v>
      </c>
      <c r="H79" s="15">
        <v>55000</v>
      </c>
      <c r="I79" s="15">
        <f t="shared" si="1"/>
        <v>55000</v>
      </c>
      <c r="J79" s="15" t="s">
        <v>22</v>
      </c>
    </row>
    <row r="80" spans="1:10">
      <c r="A80" s="15" t="s">
        <v>208</v>
      </c>
      <c r="B80" s="15" t="s">
        <v>209</v>
      </c>
      <c r="C80" s="15" t="s">
        <v>88</v>
      </c>
      <c r="D80" s="15" t="s">
        <v>26</v>
      </c>
      <c r="E80" s="15" t="s">
        <v>21</v>
      </c>
      <c r="F80" s="15" t="s">
        <v>15</v>
      </c>
      <c r="G80" s="15">
        <v>2</v>
      </c>
      <c r="H80" s="15">
        <v>25000</v>
      </c>
      <c r="I80" s="15">
        <f t="shared" si="1"/>
        <v>50000</v>
      </c>
      <c r="J80" s="15" t="s">
        <v>28</v>
      </c>
    </row>
    <row r="81" spans="1:10">
      <c r="A81" s="15" t="s">
        <v>210</v>
      </c>
      <c r="B81" s="15" t="s">
        <v>211</v>
      </c>
      <c r="C81" s="15" t="s">
        <v>91</v>
      </c>
      <c r="D81" s="15" t="s">
        <v>32</v>
      </c>
      <c r="E81" s="15" t="s">
        <v>27</v>
      </c>
      <c r="F81" s="15" t="s">
        <v>15</v>
      </c>
      <c r="G81" s="15">
        <v>3</v>
      </c>
      <c r="H81" s="15">
        <v>15000</v>
      </c>
      <c r="I81" s="15">
        <f t="shared" si="1"/>
        <v>45000</v>
      </c>
      <c r="J81" s="15" t="s">
        <v>34</v>
      </c>
    </row>
    <row r="82" spans="1:10">
      <c r="A82" s="15" t="s">
        <v>212</v>
      </c>
      <c r="B82" s="15" t="s">
        <v>213</v>
      </c>
      <c r="C82" s="15" t="s">
        <v>12</v>
      </c>
      <c r="D82" s="15" t="s">
        <v>13</v>
      </c>
      <c r="E82" s="15" t="s">
        <v>33</v>
      </c>
      <c r="F82" s="15" t="s">
        <v>15</v>
      </c>
      <c r="G82" s="15">
        <v>4</v>
      </c>
      <c r="H82" s="15">
        <v>18000</v>
      </c>
      <c r="I82" s="15">
        <f t="shared" si="1"/>
        <v>72000</v>
      </c>
      <c r="J82" s="15" t="s">
        <v>16</v>
      </c>
    </row>
    <row r="83" spans="1:10">
      <c r="A83" s="15" t="s">
        <v>214</v>
      </c>
      <c r="B83" s="15" t="s">
        <v>215</v>
      </c>
      <c r="C83" s="15" t="s">
        <v>19</v>
      </c>
      <c r="D83" s="15" t="s">
        <v>20</v>
      </c>
      <c r="E83" s="15" t="s">
        <v>38</v>
      </c>
      <c r="F83" s="15" t="s">
        <v>39</v>
      </c>
      <c r="G83" s="15">
        <v>5</v>
      </c>
      <c r="H83" s="15">
        <v>3500</v>
      </c>
      <c r="I83" s="15">
        <f t="shared" si="1"/>
        <v>17500</v>
      </c>
      <c r="J83" s="15" t="s">
        <v>22</v>
      </c>
    </row>
    <row r="84" spans="1:10">
      <c r="A84" s="15" t="s">
        <v>216</v>
      </c>
      <c r="B84" s="15" t="s">
        <v>217</v>
      </c>
      <c r="C84" s="15" t="s">
        <v>25</v>
      </c>
      <c r="D84" s="15" t="s">
        <v>26</v>
      </c>
      <c r="E84" s="15" t="s">
        <v>43</v>
      </c>
      <c r="F84" s="15" t="s">
        <v>39</v>
      </c>
      <c r="G84" s="15">
        <v>6</v>
      </c>
      <c r="H84" s="15">
        <v>8000</v>
      </c>
      <c r="I84" s="15">
        <f t="shared" si="1"/>
        <v>48000</v>
      </c>
      <c r="J84" s="15" t="s">
        <v>28</v>
      </c>
    </row>
    <row r="85" spans="1:10">
      <c r="A85" s="15" t="s">
        <v>218</v>
      </c>
      <c r="B85" s="15" t="s">
        <v>219</v>
      </c>
      <c r="C85" s="15" t="s">
        <v>31</v>
      </c>
      <c r="D85" s="15" t="s">
        <v>32</v>
      </c>
      <c r="E85" s="15" t="s">
        <v>47</v>
      </c>
      <c r="F85" s="15" t="s">
        <v>39</v>
      </c>
      <c r="G85" s="15">
        <v>1</v>
      </c>
      <c r="H85" s="15">
        <v>9000</v>
      </c>
      <c r="I85" s="15">
        <f t="shared" si="1"/>
        <v>9000</v>
      </c>
      <c r="J85" s="15" t="s">
        <v>34</v>
      </c>
    </row>
    <row r="86" spans="1:10">
      <c r="A86" s="15" t="s">
        <v>220</v>
      </c>
      <c r="B86" s="15" t="s">
        <v>221</v>
      </c>
      <c r="C86" s="15" t="s">
        <v>37</v>
      </c>
      <c r="D86" s="15" t="s">
        <v>13</v>
      </c>
      <c r="E86" s="15" t="s">
        <v>51</v>
      </c>
      <c r="F86" s="15" t="s">
        <v>39</v>
      </c>
      <c r="G86" s="15">
        <v>2</v>
      </c>
      <c r="H86" s="15">
        <v>30000</v>
      </c>
      <c r="I86" s="15">
        <f t="shared" si="1"/>
        <v>60000</v>
      </c>
      <c r="J86" s="15" t="s">
        <v>16</v>
      </c>
    </row>
    <row r="87" spans="1:10">
      <c r="A87" s="15" t="s">
        <v>222</v>
      </c>
      <c r="B87" s="15" t="s">
        <v>223</v>
      </c>
      <c r="C87" s="15" t="s">
        <v>42</v>
      </c>
      <c r="D87" s="15" t="s">
        <v>20</v>
      </c>
      <c r="E87" s="15" t="s">
        <v>55</v>
      </c>
      <c r="F87" s="15" t="s">
        <v>56</v>
      </c>
      <c r="G87" s="15">
        <v>3</v>
      </c>
      <c r="H87" s="15">
        <v>800</v>
      </c>
      <c r="I87" s="15">
        <f t="shared" si="1"/>
        <v>2400</v>
      </c>
      <c r="J87" s="15" t="s">
        <v>22</v>
      </c>
    </row>
    <row r="88" spans="1:10">
      <c r="A88" s="15" t="s">
        <v>224</v>
      </c>
      <c r="B88" s="15" t="s">
        <v>225</v>
      </c>
      <c r="C88" s="15" t="s">
        <v>46</v>
      </c>
      <c r="D88" s="15" t="s">
        <v>26</v>
      </c>
      <c r="E88" s="15" t="s">
        <v>60</v>
      </c>
      <c r="F88" s="15" t="s">
        <v>56</v>
      </c>
      <c r="G88" s="15">
        <v>4</v>
      </c>
      <c r="H88" s="15">
        <v>1200</v>
      </c>
      <c r="I88" s="15">
        <f t="shared" si="1"/>
        <v>4800</v>
      </c>
      <c r="J88" s="15" t="s">
        <v>28</v>
      </c>
    </row>
    <row r="89" spans="1:10">
      <c r="A89" s="15" t="s">
        <v>226</v>
      </c>
      <c r="B89" s="15" t="s">
        <v>227</v>
      </c>
      <c r="C89" s="15" t="s">
        <v>50</v>
      </c>
      <c r="D89" s="15" t="s">
        <v>32</v>
      </c>
      <c r="E89" s="15" t="s">
        <v>64</v>
      </c>
      <c r="F89" s="15" t="s">
        <v>56</v>
      </c>
      <c r="G89" s="15">
        <v>5</v>
      </c>
      <c r="H89" s="15">
        <v>2500</v>
      </c>
      <c r="I89" s="15">
        <f t="shared" si="1"/>
        <v>12500</v>
      </c>
      <c r="J89" s="15" t="s">
        <v>34</v>
      </c>
    </row>
    <row r="90" spans="1:10">
      <c r="A90" s="15" t="s">
        <v>228</v>
      </c>
      <c r="B90" s="15" t="s">
        <v>229</v>
      </c>
      <c r="C90" s="15" t="s">
        <v>54</v>
      </c>
      <c r="D90" s="15" t="s">
        <v>13</v>
      </c>
      <c r="E90" s="15" t="s">
        <v>14</v>
      </c>
      <c r="F90" s="15" t="s">
        <v>15</v>
      </c>
      <c r="G90" s="15">
        <v>6</v>
      </c>
      <c r="H90" s="15">
        <v>55000</v>
      </c>
      <c r="I90" s="15">
        <f t="shared" si="1"/>
        <v>330000</v>
      </c>
      <c r="J90" s="15" t="s">
        <v>16</v>
      </c>
    </row>
    <row r="91" spans="1:10">
      <c r="A91" s="15" t="s">
        <v>230</v>
      </c>
      <c r="B91" s="15" t="s">
        <v>231</v>
      </c>
      <c r="C91" s="15" t="s">
        <v>59</v>
      </c>
      <c r="D91" s="15" t="s">
        <v>20</v>
      </c>
      <c r="E91" s="15" t="s">
        <v>21</v>
      </c>
      <c r="F91" s="15" t="s">
        <v>15</v>
      </c>
      <c r="G91" s="15">
        <v>1</v>
      </c>
      <c r="H91" s="15">
        <v>25000</v>
      </c>
      <c r="I91" s="15">
        <f t="shared" si="1"/>
        <v>25000</v>
      </c>
      <c r="J91" s="15" t="s">
        <v>22</v>
      </c>
    </row>
    <row r="92" spans="1:10">
      <c r="A92" s="15" t="s">
        <v>232</v>
      </c>
      <c r="B92" s="15" t="s">
        <v>233</v>
      </c>
      <c r="C92" s="15" t="s">
        <v>63</v>
      </c>
      <c r="D92" s="15" t="s">
        <v>26</v>
      </c>
      <c r="E92" s="15" t="s">
        <v>27</v>
      </c>
      <c r="F92" s="15" t="s">
        <v>15</v>
      </c>
      <c r="G92" s="15">
        <v>2</v>
      </c>
      <c r="H92" s="15">
        <v>15000</v>
      </c>
      <c r="I92" s="15">
        <f t="shared" si="1"/>
        <v>30000</v>
      </c>
      <c r="J92" s="15" t="s">
        <v>28</v>
      </c>
    </row>
    <row r="93" spans="1:10">
      <c r="A93" s="15" t="s">
        <v>234</v>
      </c>
      <c r="B93" s="15" t="s">
        <v>235</v>
      </c>
      <c r="C93" s="15" t="s">
        <v>67</v>
      </c>
      <c r="D93" s="15" t="s">
        <v>32</v>
      </c>
      <c r="E93" s="15" t="s">
        <v>33</v>
      </c>
      <c r="F93" s="15" t="s">
        <v>15</v>
      </c>
      <c r="G93" s="15">
        <v>3</v>
      </c>
      <c r="H93" s="15">
        <v>18000</v>
      </c>
      <c r="I93" s="15">
        <f t="shared" si="1"/>
        <v>54000</v>
      </c>
      <c r="J93" s="15" t="s">
        <v>34</v>
      </c>
    </row>
    <row r="94" spans="1:10">
      <c r="A94" s="15" t="s">
        <v>236</v>
      </c>
      <c r="B94" s="15" t="s">
        <v>237</v>
      </c>
      <c r="C94" s="15" t="s">
        <v>70</v>
      </c>
      <c r="D94" s="15" t="s">
        <v>13</v>
      </c>
      <c r="E94" s="15" t="s">
        <v>38</v>
      </c>
      <c r="F94" s="15" t="s">
        <v>39</v>
      </c>
      <c r="G94" s="15">
        <v>4</v>
      </c>
      <c r="H94" s="15">
        <v>3500</v>
      </c>
      <c r="I94" s="15">
        <f t="shared" si="1"/>
        <v>14000</v>
      </c>
      <c r="J94" s="15" t="s">
        <v>16</v>
      </c>
    </row>
    <row r="95" spans="1:10">
      <c r="A95" s="15" t="s">
        <v>238</v>
      </c>
      <c r="B95" s="15" t="s">
        <v>239</v>
      </c>
      <c r="C95" s="15" t="s">
        <v>73</v>
      </c>
      <c r="D95" s="15" t="s">
        <v>20</v>
      </c>
      <c r="E95" s="15" t="s">
        <v>43</v>
      </c>
      <c r="F95" s="15" t="s">
        <v>39</v>
      </c>
      <c r="G95" s="15">
        <v>5</v>
      </c>
      <c r="H95" s="15">
        <v>8000</v>
      </c>
      <c r="I95" s="15">
        <f t="shared" si="1"/>
        <v>40000</v>
      </c>
      <c r="J95" s="15" t="s">
        <v>22</v>
      </c>
    </row>
    <row r="96" spans="1:10">
      <c r="A96" s="15" t="s">
        <v>240</v>
      </c>
      <c r="B96" s="15" t="s">
        <v>241</v>
      </c>
      <c r="C96" s="15" t="s">
        <v>76</v>
      </c>
      <c r="D96" s="15" t="s">
        <v>26</v>
      </c>
      <c r="E96" s="15" t="s">
        <v>47</v>
      </c>
      <c r="F96" s="15" t="s">
        <v>39</v>
      </c>
      <c r="G96" s="15">
        <v>6</v>
      </c>
      <c r="H96" s="15">
        <v>9000</v>
      </c>
      <c r="I96" s="15">
        <f t="shared" si="1"/>
        <v>54000</v>
      </c>
      <c r="J96" s="15" t="s">
        <v>28</v>
      </c>
    </row>
    <row r="97" spans="1:10">
      <c r="A97" s="15" t="s">
        <v>242</v>
      </c>
      <c r="B97" s="15" t="s">
        <v>243</v>
      </c>
      <c r="C97" s="15" t="s">
        <v>79</v>
      </c>
      <c r="D97" s="15" t="s">
        <v>32</v>
      </c>
      <c r="E97" s="15" t="s">
        <v>51</v>
      </c>
      <c r="F97" s="15" t="s">
        <v>39</v>
      </c>
      <c r="G97" s="15">
        <v>1</v>
      </c>
      <c r="H97" s="15">
        <v>30000</v>
      </c>
      <c r="I97" s="15">
        <f t="shared" si="1"/>
        <v>30000</v>
      </c>
      <c r="J97" s="15" t="s">
        <v>34</v>
      </c>
    </row>
    <row r="98" spans="1:10">
      <c r="A98" s="15" t="s">
        <v>244</v>
      </c>
      <c r="B98" s="15" t="s">
        <v>245</v>
      </c>
      <c r="C98" s="15" t="s">
        <v>82</v>
      </c>
      <c r="D98" s="15" t="s">
        <v>13</v>
      </c>
      <c r="E98" s="15" t="s">
        <v>55</v>
      </c>
      <c r="F98" s="15" t="s">
        <v>56</v>
      </c>
      <c r="G98" s="15">
        <v>2</v>
      </c>
      <c r="H98" s="15">
        <v>800</v>
      </c>
      <c r="I98" s="15">
        <f t="shared" si="1"/>
        <v>1600</v>
      </c>
      <c r="J98" s="15" t="s">
        <v>16</v>
      </c>
    </row>
    <row r="99" spans="1:10">
      <c r="A99" s="15" t="s">
        <v>246</v>
      </c>
      <c r="B99" s="15" t="s">
        <v>247</v>
      </c>
      <c r="C99" s="15" t="s">
        <v>85</v>
      </c>
      <c r="D99" s="15" t="s">
        <v>20</v>
      </c>
      <c r="E99" s="15" t="s">
        <v>60</v>
      </c>
      <c r="F99" s="15" t="s">
        <v>56</v>
      </c>
      <c r="G99" s="15">
        <v>3</v>
      </c>
      <c r="H99" s="15">
        <v>1200</v>
      </c>
      <c r="I99" s="15">
        <f t="shared" si="1"/>
        <v>3600</v>
      </c>
      <c r="J99" s="15" t="s">
        <v>22</v>
      </c>
    </row>
    <row r="100" spans="1:10">
      <c r="A100" s="15" t="s">
        <v>248</v>
      </c>
      <c r="B100" s="15" t="s">
        <v>249</v>
      </c>
      <c r="C100" s="15" t="s">
        <v>88</v>
      </c>
      <c r="D100" s="15" t="s">
        <v>26</v>
      </c>
      <c r="E100" s="15" t="s">
        <v>64</v>
      </c>
      <c r="F100" s="15" t="s">
        <v>56</v>
      </c>
      <c r="G100" s="15">
        <v>4</v>
      </c>
      <c r="H100" s="15">
        <v>2500</v>
      </c>
      <c r="I100" s="15">
        <f t="shared" si="1"/>
        <v>10000</v>
      </c>
      <c r="J100" s="15" t="s">
        <v>28</v>
      </c>
    </row>
    <row r="101" spans="1:10">
      <c r="A101" s="15" t="s">
        <v>250</v>
      </c>
      <c r="B101" s="15" t="s">
        <v>251</v>
      </c>
      <c r="C101" s="15" t="s">
        <v>91</v>
      </c>
      <c r="D101" s="15" t="s">
        <v>32</v>
      </c>
      <c r="E101" s="15" t="s">
        <v>14</v>
      </c>
      <c r="F101" s="15" t="s">
        <v>15</v>
      </c>
      <c r="G101" s="15">
        <v>5</v>
      </c>
      <c r="H101" s="15">
        <v>55000</v>
      </c>
      <c r="I101" s="15">
        <f t="shared" si="1"/>
        <v>275000</v>
      </c>
      <c r="J101" s="15" t="s">
        <v>34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J26" sqref="J26"/>
    </sheetView>
  </sheetViews>
  <sheetFormatPr defaultColWidth="8.88888888888889" defaultRowHeight="14.4" outlineLevelRow="5" outlineLevelCol="1"/>
  <cols>
    <col min="1" max="1" width="11.6666666666667"/>
    <col min="2" max="2" width="12.6666666666667"/>
  </cols>
  <sheetData>
    <row r="1" spans="1:2">
      <c r="A1" t="s">
        <v>3</v>
      </c>
      <c r="B1" t="s">
        <v>252</v>
      </c>
    </row>
    <row r="2" spans="1:2">
      <c r="A2" t="s">
        <v>26</v>
      </c>
      <c r="B2">
        <v>1445000</v>
      </c>
    </row>
    <row r="3" spans="1:2">
      <c r="A3" t="s">
        <v>13</v>
      </c>
      <c r="B3">
        <v>1472600</v>
      </c>
    </row>
    <row r="4" spans="1:2">
      <c r="A4" t="s">
        <v>20</v>
      </c>
      <c r="B4">
        <v>1104000</v>
      </c>
    </row>
    <row r="5" spans="1:2">
      <c r="A5" t="s">
        <v>32</v>
      </c>
      <c r="B5">
        <v>1246000</v>
      </c>
    </row>
    <row r="6" spans="1:2">
      <c r="A6" t="s">
        <v>253</v>
      </c>
      <c r="B6">
        <v>5267600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N21" sqref="N21"/>
    </sheetView>
  </sheetViews>
  <sheetFormatPr defaultColWidth="8.88888888888889" defaultRowHeight="14.4"/>
  <cols>
    <col min="1" max="1" width="11.6666666666667"/>
    <col min="2" max="2" width="12.6666666666667"/>
    <col min="9" max="9" width="11.6666666666667"/>
    <col min="10" max="10" width="19.8888888888889"/>
  </cols>
  <sheetData>
    <row r="1" spans="1:10">
      <c r="A1" t="s">
        <v>5</v>
      </c>
      <c r="B1" t="s">
        <v>252</v>
      </c>
    </row>
    <row r="2" spans="1:10">
      <c r="A2" t="s">
        <v>56</v>
      </c>
      <c r="B2">
        <v>153600</v>
      </c>
    </row>
    <row r="3" spans="1:10">
      <c r="A3" t="s">
        <v>15</v>
      </c>
      <c r="B3">
        <v>3644000</v>
      </c>
    </row>
    <row r="4" spans="1:10">
      <c r="A4" t="s">
        <v>39</v>
      </c>
      <c r="B4">
        <v>1470000</v>
      </c>
    </row>
    <row r="5" spans="1:10">
      <c r="A5" t="s">
        <v>253</v>
      </c>
      <c r="B5">
        <v>5267600</v>
      </c>
    </row>
    <row r="7" spans="1:10">
      <c r="I7" t="s">
        <v>5</v>
      </c>
      <c r="J7" t="s">
        <v>254</v>
      </c>
    </row>
    <row r="8" spans="1:10">
      <c r="I8" t="s">
        <v>56</v>
      </c>
      <c r="J8">
        <v>153600</v>
      </c>
    </row>
    <row r="9" spans="1:10">
      <c r="I9" t="s">
        <v>15</v>
      </c>
      <c r="J9">
        <v>3644000</v>
      </c>
    </row>
    <row r="10" spans="1:10">
      <c r="I10" t="s">
        <v>39</v>
      </c>
      <c r="J10">
        <v>1470000</v>
      </c>
    </row>
    <row r="11" spans="1:10">
      <c r="I11" t="s">
        <v>253</v>
      </c>
      <c r="J11">
        <v>5267600</v>
      </c>
    </row>
    <row r="12" spans="1:10">
      <c r="I12" t="s">
        <v>253</v>
      </c>
      <c r="J12">
        <v>10535200</v>
      </c>
    </row>
  </sheetData>
  <pageMargins left="0.75" right="0.75" top="1" bottom="1" header="0.5" footer="0.5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L12" sqref="L12"/>
    </sheetView>
  </sheetViews>
  <sheetFormatPr defaultColWidth="8.88888888888889" defaultRowHeight="14.4" outlineLevelRow="5" outlineLevelCol="1"/>
  <cols>
    <col min="1" max="1" width="13.8888888888889"/>
    <col min="2" max="2" width="12.6666666666667"/>
  </cols>
  <sheetData>
    <row r="1" spans="1:2">
      <c r="A1" t="s">
        <v>9</v>
      </c>
      <c r="B1" t="s">
        <v>252</v>
      </c>
    </row>
    <row r="2" spans="1:2">
      <c r="A2" s="12" t="s">
        <v>16</v>
      </c>
      <c r="B2">
        <v>1472600</v>
      </c>
    </row>
    <row r="3" spans="1:2">
      <c r="A3" t="s">
        <v>22</v>
      </c>
      <c r="B3">
        <v>1104000</v>
      </c>
    </row>
    <row r="4" spans="1:2">
      <c r="A4" t="s">
        <v>34</v>
      </c>
      <c r="B4">
        <v>1246000</v>
      </c>
    </row>
    <row r="5" spans="1:2">
      <c r="A5" t="s">
        <v>28</v>
      </c>
      <c r="B5">
        <v>1445000</v>
      </c>
    </row>
    <row r="6" spans="1:2">
      <c r="A6" t="s">
        <v>253</v>
      </c>
      <c r="B6">
        <v>5267600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75" zoomScaleNormal="75" workbookViewId="0">
      <selection activeCell="A4" sqref="A3:A4"/>
    </sheetView>
  </sheetViews>
  <sheetFormatPr defaultColWidth="8.88888888888889" defaultRowHeight="14.4" outlineLevelCol="7"/>
  <cols>
    <col min="1" max="1" width="21.9259259259259" customWidth="1"/>
    <col min="3" max="3" width="21.7777777777778" customWidth="1"/>
    <col min="5" max="5" width="23.4074074074074" style="1" customWidth="1"/>
    <col min="7" max="7" width="23.1111111111111" customWidth="1"/>
  </cols>
  <sheetData>
    <row r="1" ht="31.2" spans="1:8">
      <c r="A1" s="2"/>
      <c r="H1" s="3" t="s">
        <v>255</v>
      </c>
    </row>
    <row r="3" ht="21" spans="1:8">
      <c r="A3" s="4" t="s">
        <v>256</v>
      </c>
      <c r="B3" s="5"/>
      <c r="C3" s="6" t="s">
        <v>257</v>
      </c>
      <c r="E3" s="6" t="s">
        <v>258</v>
      </c>
      <c r="G3" s="6" t="s">
        <v>259</v>
      </c>
    </row>
    <row r="4" ht="21" spans="1:8">
      <c r="A4" s="7">
        <f>SUM(Sales_Data!I:I)</f>
        <v>5267600</v>
      </c>
      <c r="B4" s="8"/>
      <c r="C4" s="9">
        <f>COUNTA(Sales_Data!A:A)-1</f>
        <v>100</v>
      </c>
      <c r="E4" s="9">
        <f>AVERAGE(Sales_Data!I:I)</f>
        <v>52676</v>
      </c>
      <c r="G4" s="10" t="s">
        <v>13</v>
      </c>
    </row>
    <row r="5" spans="1:8">
      <c r="A5" s="8"/>
      <c r="B5" s="8"/>
    </row>
    <row r="6" spans="1:8">
      <c r="A6" s="8"/>
      <c r="B6" s="8"/>
    </row>
    <row r="7" spans="1:8">
      <c r="A7" s="8"/>
      <c r="B7" s="8"/>
    </row>
    <row r="10" spans="1:8">
      <c r="F10" s="1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Sales_Data</vt:lpstr>
      <vt:lpstr>Pivot_Table</vt:lpstr>
      <vt:lpstr>Category_Pivot</vt:lpstr>
      <vt:lpstr>Sales by salesperson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</dc:creator>
  <cp:lastModifiedBy>venka</cp:lastModifiedBy>
  <dcterms:created xsi:type="dcterms:W3CDTF">2026-07-03T10:59:00Z</dcterms:created>
  <dcterms:modified xsi:type="dcterms:W3CDTF">2026-07-15T14:22:03Z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62392981042B4B1CA49792F144F12A67_11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